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st Center" sheetId="2" state="visible" r:id="rId4"/>
    <sheet name="Themen" sheetId="3" state="visible" r:id="rId5"/>
    <sheet name="Positionen" sheetId="4" state="visible" r:id="rId6"/>
    <sheet name="Rohdaten sfinx" sheetId="5" state="visible" r:id="rId7"/>
    <sheet name="Legende" sheetId="6" state="visible" r:id="rId8"/>
    <sheet name="Berechnung" sheetId="7" state="visible" r:id="rId9"/>
  </sheets>
  <definedNames>
    <definedName function="false" hidden="false" localSheetId="1" name="_xlnm.Print_Area" vbProcedure="false">'Cost Center'!$A$1:$V$60</definedName>
    <definedName function="false" hidden="false" localSheetId="0" name="_xlnm.Print_Area" vbProcedure="false">Dashboard!$A$1:$V$71</definedName>
    <definedName function="false" hidden="false" localSheetId="5" name="_xlnm.Print_Area" vbProcedure="false">Legende!$A$1:$B$43</definedName>
    <definedName function="false" hidden="false" localSheetId="3" name="_xlnm.Print_Area" vbProcedure="false">Positionen!$A$1:$P$75</definedName>
    <definedName function="false" hidden="false" localSheetId="3" name="_xlnm.Print_Titles" vbProcedure="false">Positionen!$2:$2</definedName>
    <definedName function="false" hidden="true" localSheetId="3" name="_xlnm._FilterDatabase" vbProcedure="false">Positionen!$A$2:$P$74</definedName>
    <definedName function="false" hidden="false" localSheetId="4" name="_xlnm.Print_Area" vbProcedure="false">'Rohdaten sfinx'!$A$1:$H$137</definedName>
    <definedName function="false" hidden="false" localSheetId="4" name="_xlnm.Print_Titles" vbProcedure="false">'Rohdaten sfinx'!$2:$2</definedName>
    <definedName function="false" hidden="true" localSheetId="4" name="_xlnm._FilterDatabase" vbProcedure="false">'Rohdaten sfinx'!$A$2:$H$137</definedName>
    <definedName function="false" hidden="false" localSheetId="2" name="_xlnm.Print_Area" vbProcedure="false">Themen!$A$1:$W$103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<sst xmlns="http://schemas.openxmlformats.org/spreadsheetml/2006/main" count="1669" uniqueCount="528">
  <si>
    <t xml:space="preserve">Budget-Dashboard FY26 → FY27</t>
  </si>
  <si>
    <t xml:space="preserve">Interaktive Auswertung: die beiden Auswahlfelder unten steuern Kennzahlen, Tabellen und Diagramme.</t>
  </si>
  <si>
    <t xml:space="preserve">Hinweis: Cost Center DE2060502 (IPS Management Office NCE) ist auf Anforderung vollständig aus dieser Auswertung ausgeschlossen – mit beiden Jahreswerten.</t>
  </si>
  <si>
    <t xml:space="preserve">Filter</t>
  </si>
  <si>
    <t xml:space="preserve">Cost Center:</t>
  </si>
  <si>
    <t xml:space="preserve">Alle</t>
  </si>
  <si>
    <t xml:space="preserve">Thema:</t>
  </si>
  <si>
    <t xml:space="preserve">Gelbe Felder = Auswahl (Dropdown).</t>
  </si>
  <si>
    <t xml:space="preserve">Kennzahlen</t>
  </si>
  <si>
    <t xml:space="preserve">Budget FY26</t>
  </si>
  <si>
    <t xml:space="preserve">Budget FY27</t>
  </si>
  <si>
    <t xml:space="preserve">Delta (EUR)</t>
  </si>
  <si>
    <t xml:space="preserve">Delta %</t>
  </si>
  <si>
    <t xml:space="preserve">Positionen</t>
  </si>
  <si>
    <t xml:space="preserve">davon neu</t>
  </si>
  <si>
    <t xml:space="preserve">davon entfallen</t>
  </si>
  <si>
    <t xml:space="preserve">Top 12 Veränderungen (gemäß Filter)</t>
  </si>
  <si>
    <t xml:space="preserve">Position</t>
  </si>
  <si>
    <t xml:space="preserve">Cost Center</t>
  </si>
  <si>
    <t xml:space="preserve">Thema</t>
  </si>
  <si>
    <t xml:space="preserve">FY26</t>
  </si>
  <si>
    <t xml:space="preserve">FY27</t>
  </si>
  <si>
    <t xml:space="preserve">Status</t>
  </si>
  <si>
    <t xml:space="preserve">Kreuzfilter-Logik: Das Themen-Diagramm folgt dem Cost-Center-Filter, das Cost-Center-Diagramm dem Themen-Filter; Kostenarten, Kennzahlen und Top-Liste folgen beiden Filtern. Grundlage ist stets die bereinigte Cost-Center-Sicht.</t>
  </si>
  <si>
    <t xml:space="preserve">Budgetentwicklung je Cost Center: FY26 → FY27</t>
  </si>
  <si>
    <t xml:space="preserve">Quelle: sFinx-Export vom 25.08.2026 · Werte in EUR · alle Zellen sind Formeln auf Blatt "Positionen"</t>
  </si>
  <si>
    <t xml:space="preserve">A) Organisatorische Überführung FY26 → FY27</t>
  </si>
  <si>
    <t xml:space="preserve">Vorgabe des Fachbereichs. Diese Zuordnung steuert die bereinigte Sicht (Block C) und die Spalte "Bemerkung" auf dem Blatt "Positionen".</t>
  </si>
  <si>
    <t xml:space="preserve">Cost Center FY26</t>
  </si>
  <si>
    <t xml:space="preserve">Bezeichnung FY26</t>
  </si>
  <si>
    <t xml:space="preserve">Cost Center FY27</t>
  </si>
  <si>
    <t xml:space="preserve">Bezeichnung FY27</t>
  </si>
  <si>
    <t xml:space="preserve">Art der Überführung</t>
  </si>
  <si>
    <t xml:space="preserve">DE2060202</t>
  </si>
  <si>
    <t xml:space="preserve">DE2060202 - ITSM+ServiceNow NCE</t>
  </si>
  <si>
    <t xml:space="preserve">DE2060204</t>
  </si>
  <si>
    <t xml:space="preserve">DE2060204 - Support &amp; Operations NCE</t>
  </si>
  <si>
    <t xml:space="preserve">in DE2060204 integriert</t>
  </si>
  <si>
    <t xml:space="preserve">DE2060203</t>
  </si>
  <si>
    <t xml:space="preserve">DE2060203 - Digital Collabo. NCE</t>
  </si>
  <si>
    <t xml:space="preserve">DE206210</t>
  </si>
  <si>
    <t xml:space="preserve">DE206210 - Modern Workplace &amp; Experience</t>
  </si>
  <si>
    <t xml:space="preserve">nach DE206210 überführt</t>
  </si>
  <si>
    <t xml:space="preserve">DE2060204 - Serv. Desk+Sup.NCE</t>
  </si>
  <si>
    <t xml:space="preserve">unverändert fortgeführt</t>
  </si>
  <si>
    <t xml:space="preserve">B) Ist-Sicht – Budget wie im Export gebucht</t>
  </si>
  <si>
    <t xml:space="preserve">FY26-Werte am FY26-Cost-Center, FY27-Werte am FY27-Cost-Center. Die Überführung aus Block A schlägt hier voll durch: abgebende Cost Center weisen FY27 keinen Wert mehr aus.</t>
  </si>
  <si>
    <t xml:space="preserve">Cost Center Code</t>
  </si>
  <si>
    <t xml:space="preserve">Anteil FY27</t>
  </si>
  <si>
    <t xml:space="preserve">– (in FY27 entfallen)</t>
  </si>
  <si>
    <t xml:space="preserve">– (in FY26 nicht vorhanden)</t>
  </si>
  <si>
    <t xml:space="preserve">Gesamt</t>
  </si>
  <si>
    <t xml:space="preserve">C) Vergleichbare Sicht – organisatorisch bereinigt</t>
  </si>
  <si>
    <t xml:space="preserve">FY26- und FY27-Werte einer Position werden gemeinsam dem FY27-Cost-Center aus Block A zugeordnet (Spalte "Cost Center (Sicht)"). So wird die reine Budgetentwicklung ohne Reorganisationseffekt sichtbar.</t>
  </si>
  <si>
    <t xml:space="preserve">Cost Center Code (FY27)</t>
  </si>
  <si>
    <t xml:space="preserve">Vorgänger FY26</t>
  </si>
  <si>
    <t xml:space="preserve">DE2060202 (ITSM+ServiceNow NCE) + DE2060204 (Serv. Desk+Sup.NCE)</t>
  </si>
  <si>
    <t xml:space="preserve">DE2060203 (Digital Collabo. NCE)</t>
  </si>
  <si>
    <t xml:space="preserve">Budgetentwicklung je Thema: FY26 → FY27</t>
  </si>
  <si>
    <t xml:space="preserve">Themen sind fachliche Bündel der Einzelpositionen (Zuordnungsregeln siehe Blatt "Legende")</t>
  </si>
  <si>
    <t xml:space="preserve">A) Entwicklung je Thema (alle Cost Center)</t>
  </si>
  <si>
    <t xml:space="preserve">Client &amp; Endgeräte (L-EDV)</t>
  </si>
  <si>
    <t xml:space="preserve">Collaboration- &amp; Produktivitäts-Tools</t>
  </si>
  <si>
    <t xml:space="preserve">Digital Signage</t>
  </si>
  <si>
    <t xml:space="preserve">E-Mail &amp; Messaging Security</t>
  </si>
  <si>
    <t xml:space="preserve">ITSM &amp; ServiceNow</t>
  </si>
  <si>
    <t xml:space="preserve">KI &amp; Copilot</t>
  </si>
  <si>
    <t xml:space="preserve">Microsoft M365 Lizenzen</t>
  </si>
  <si>
    <t xml:space="preserve">Output Management &amp; Druck</t>
  </si>
  <si>
    <t xml:space="preserve">Service Desk &amp; User Support</t>
  </si>
  <si>
    <t xml:space="preserve">Unified Communications &amp; Telefonie</t>
  </si>
  <si>
    <t xml:space="preserve">B) Budget FY27 je Thema und Cost Center (bereinigte Sicht)</t>
  </si>
  <si>
    <t xml:space="preserve">Gesamt FY27</t>
  </si>
  <si>
    <t xml:space="preserve">C) Veränderung FY26 → FY27 je Thema und Cost Center (bereinigte Sicht)</t>
  </si>
  <si>
    <t xml:space="preserve">Delta gesamt</t>
  </si>
  <si>
    <t xml:space="preserve">Lesehilfe: rot = Budgetanstieg FY27 gegenüber FY26, grün = Budgetreduktion. Die Spaltensumme entspricht der bereinigten Sicht auf Blatt "Cost Center" (Block B).</t>
  </si>
  <si>
    <t xml:space="preserve">Positionen FY26 / FY27 – sortiert nach Cost Center Code</t>
  </si>
  <si>
    <t xml:space="preserve">Cost Center (Sicht)</t>
  </si>
  <si>
    <t xml:space="preserve">Cost Center Bezeichnung (FY27)</t>
  </si>
  <si>
    <t xml:space="preserve">CC FY26</t>
  </si>
  <si>
    <t xml:space="preserve">CC FY27</t>
  </si>
  <si>
    <t xml:space="preserve">Kostenart (Konto)</t>
  </si>
  <si>
    <t xml:space="preserve">Konto-Nr.</t>
  </si>
  <si>
    <t xml:space="preserve">R-Code FY26</t>
  </si>
  <si>
    <t xml:space="preserve">R-Code FY27</t>
  </si>
  <si>
    <t xml:space="preserve">Budget FY26 (EUR)</t>
  </si>
  <si>
    <t xml:space="preserve">Budget FY27 (EUR)</t>
  </si>
  <si>
    <t xml:space="preserve">Bemerkung</t>
  </si>
  <si>
    <t xml:space="preserve">L-EDV Client</t>
  </si>
  <si>
    <t xml:space="preserve">Exp. repairs and maint.-IT hardware</t>
  </si>
  <si>
    <t xml:space="preserve">72830300</t>
  </si>
  <si>
    <t xml:space="preserve">R0001976</t>
  </si>
  <si>
    <t xml:space="preserve">R0009540</t>
  </si>
  <si>
    <t xml:space="preserve">L-EDV Drucker Ersatzteile</t>
  </si>
  <si>
    <t xml:space="preserve">Expenses for low value assets (for DE 250 EUR - 1000 EUR)</t>
  </si>
  <si>
    <t xml:space="preserve">75500405</t>
  </si>
  <si>
    <t xml:space="preserve">R0001991</t>
  </si>
  <si>
    <t xml:space="preserve">R0009553</t>
  </si>
  <si>
    <t xml:space="preserve">L-EDV Kleinteile</t>
  </si>
  <si>
    <t xml:space="preserve">R0001990</t>
  </si>
  <si>
    <t xml:space="preserve">R0009552</t>
  </si>
  <si>
    <t xml:space="preserve">L-EDV Logistik</t>
  </si>
  <si>
    <t xml:space="preserve">R0001978</t>
  </si>
  <si>
    <t xml:space="preserve">R0009542</t>
  </si>
  <si>
    <t xml:space="preserve">L-EDV Server</t>
  </si>
  <si>
    <t xml:space="preserve">R0001977</t>
  </si>
  <si>
    <t xml:space="preserve">R0009541</t>
  </si>
  <si>
    <t xml:space="preserve">Sammler für IT Kleinteile Stammhaus</t>
  </si>
  <si>
    <t xml:space="preserve">Transfer Functional Cost</t>
  </si>
  <si>
    <t xml:space="preserve">20608888</t>
  </si>
  <si>
    <t xml:space="preserve">R0004606</t>
  </si>
  <si>
    <t xml:space="preserve">R0010259</t>
  </si>
  <si>
    <t xml:space="preserve">ITSM CSI Fokus</t>
  </si>
  <si>
    <t xml:space="preserve">Other. outside serv.-IT related services</t>
  </si>
  <si>
    <t xml:space="preserve">73580730</t>
  </si>
  <si>
    <t xml:space="preserve">R0001933</t>
  </si>
  <si>
    <t xml:space="preserve">ITSM Development</t>
  </si>
  <si>
    <t xml:space="preserve">Other. outside serv. – IT managed services</t>
  </si>
  <si>
    <t xml:space="preserve">73580740</t>
  </si>
  <si>
    <t xml:space="preserve">R0001934</t>
  </si>
  <si>
    <t xml:space="preserve">ServiceNow Enterpise Contract</t>
  </si>
  <si>
    <t xml:space="preserve">Expenses for rent - software</t>
  </si>
  <si>
    <t xml:space="preserve">74200320</t>
  </si>
  <si>
    <t xml:space="preserve">R0001931</t>
  </si>
  <si>
    <t xml:space="preserve">R0009501</t>
  </si>
  <si>
    <t xml:space="preserve">ServiceNow Modul IT Operation Monitoring ITOM (D-020936)</t>
  </si>
  <si>
    <t xml:space="preserve">R0010679</t>
  </si>
  <si>
    <t xml:space="preserve">ServiceNow Modul Release Management (SAP)</t>
  </si>
  <si>
    <t xml:space="preserve">R0004187</t>
  </si>
  <si>
    <t xml:space="preserve">ServiceNow Plattform Maintenance</t>
  </si>
  <si>
    <t xml:space="preserve">R0009504</t>
  </si>
  <si>
    <t xml:space="preserve">ServiceNow Plattform Managed Service Operation</t>
  </si>
  <si>
    <t xml:space="preserve">R0009723</t>
  </si>
  <si>
    <t xml:space="preserve">ServiceNow SBS Module</t>
  </si>
  <si>
    <t xml:space="preserve">R0010253</t>
  </si>
  <si>
    <t xml:space="preserve">ServiceNow SEPM Projekt Gestehung 2027 (D-020932)</t>
  </si>
  <si>
    <t xml:space="preserve">R0010680</t>
  </si>
  <si>
    <t xml:space="preserve">ServiceNow SPM - Strategic Portfolio Management (D-020932)</t>
  </si>
  <si>
    <t xml:space="preserve">R0008435</t>
  </si>
  <si>
    <t xml:space="preserve">R0010387</t>
  </si>
  <si>
    <t xml:space="preserve">Lexmark DFM</t>
  </si>
  <si>
    <t xml:space="preserve">R0001981</t>
  </si>
  <si>
    <t xml:space="preserve">R0009544</t>
  </si>
  <si>
    <t xml:space="preserve">Lexmark RFID Support</t>
  </si>
  <si>
    <t xml:space="preserve">R0001974</t>
  </si>
  <si>
    <t xml:space="preserve">LRS - Lizenzen (dopplung SAC 2025)</t>
  </si>
  <si>
    <t xml:space="preserve">R0009545</t>
  </si>
  <si>
    <t xml:space="preserve">LRS - VPSX Support</t>
  </si>
  <si>
    <t xml:space="preserve">Exp. repairs and maint.-software</t>
  </si>
  <si>
    <t xml:space="preserve">72830100</t>
  </si>
  <si>
    <t xml:space="preserve">R0001983</t>
  </si>
  <si>
    <t xml:space="preserve">R0009546</t>
  </si>
  <si>
    <t xml:space="preserve">LRS - Wartung</t>
  </si>
  <si>
    <t xml:space="preserve">R0001984</t>
  </si>
  <si>
    <t xml:space="preserve">R0009547</t>
  </si>
  <si>
    <t xml:space="preserve">Plot Management Support</t>
  </si>
  <si>
    <t xml:space="preserve">R0001975</t>
  </si>
  <si>
    <t xml:space="preserve">R0009539</t>
  </si>
  <si>
    <t xml:space="preserve">Managed Service Desk</t>
  </si>
  <si>
    <t xml:space="preserve">R0001987</t>
  </si>
  <si>
    <t xml:space="preserve">R0009550</t>
  </si>
  <si>
    <t xml:space="preserve">Off Hour Bechtle Operations</t>
  </si>
  <si>
    <t xml:space="preserve">R0004133</t>
  </si>
  <si>
    <t xml:space="preserve">R0010225</t>
  </si>
  <si>
    <t xml:space="preserve">On-Hour Bechtle</t>
  </si>
  <si>
    <t xml:space="preserve">R0004136</t>
  </si>
  <si>
    <t xml:space="preserve">R0010226</t>
  </si>
  <si>
    <t xml:space="preserve">Alarming - SMS</t>
  </si>
  <si>
    <t xml:space="preserve">R0001985</t>
  </si>
  <si>
    <t xml:space="preserve">Heydt Kommunikation 2nd Level UC</t>
  </si>
  <si>
    <t xml:space="preserve">R0001988</t>
  </si>
  <si>
    <t xml:space="preserve">R0009551</t>
  </si>
  <si>
    <t xml:space="preserve">L-EDV Instandhaltung UC</t>
  </si>
  <si>
    <t xml:space="preserve">R0001979</t>
  </si>
  <si>
    <t xml:space="preserve">R0009543</t>
  </si>
  <si>
    <t xml:space="preserve">GWG bis 1.000 €</t>
  </si>
  <si>
    <t xml:space="preserve">R0001972</t>
  </si>
  <si>
    <t xml:space="preserve">R0009536</t>
  </si>
  <si>
    <t xml:space="preserve">GWG bis 250 €</t>
  </si>
  <si>
    <t xml:space="preserve">Expenses for small items &lt; 250 EUR</t>
  </si>
  <si>
    <t xml:space="preserve">75500400</t>
  </si>
  <si>
    <t xml:space="preserve">R0001973</t>
  </si>
  <si>
    <t xml:space="preserve">R0009537</t>
  </si>
  <si>
    <t xml:space="preserve">Boardwise VIP Solution</t>
  </si>
  <si>
    <t xml:space="preserve">R0001955</t>
  </si>
  <si>
    <t xml:space="preserve">R0009520</t>
  </si>
  <si>
    <t xml:space="preserve">Efficient Elements Microsoft PowerPoint Plugin</t>
  </si>
  <si>
    <t xml:space="preserve">R0001953</t>
  </si>
  <si>
    <t xml:space="preserve">R0009518</t>
  </si>
  <si>
    <t xml:space="preserve">M365 Beratung (inkl. Implementierung Schnittstellen z.B.: IDM)</t>
  </si>
  <si>
    <t xml:space="preserve">R0001968</t>
  </si>
  <si>
    <t xml:space="preserve">R0009532</t>
  </si>
  <si>
    <t xml:space="preserve">MHS Consulting Support &amp; Entwicklung</t>
  </si>
  <si>
    <t xml:space="preserve">R0001964</t>
  </si>
  <si>
    <t xml:space="preserve">R0009528</t>
  </si>
  <si>
    <t xml:space="preserve">Mural Whiteboard Solution</t>
  </si>
  <si>
    <t xml:space="preserve">R0001950</t>
  </si>
  <si>
    <t xml:space="preserve">R0009515</t>
  </si>
  <si>
    <t xml:space="preserve">Novacapta Wartung &amp; Support</t>
  </si>
  <si>
    <t xml:space="preserve">R0009529</t>
  </si>
  <si>
    <t xml:space="preserve">ShareGate Migrations-Tool</t>
  </si>
  <si>
    <t xml:space="preserve">R0009514</t>
  </si>
  <si>
    <t xml:space="preserve">Think-Cell Microsoft PowerPoint Plugin</t>
  </si>
  <si>
    <t xml:space="preserve">R0001954</t>
  </si>
  <si>
    <t xml:space="preserve">R0009519</t>
  </si>
  <si>
    <t xml:space="preserve">Treesize</t>
  </si>
  <si>
    <t xml:space="preserve">R0009523</t>
  </si>
  <si>
    <t xml:space="preserve">Digital Signage Beratung</t>
  </si>
  <si>
    <t xml:space="preserve">R0001967</t>
  </si>
  <si>
    <t xml:space="preserve">R0009531</t>
  </si>
  <si>
    <t xml:space="preserve">Digital Signage Software</t>
  </si>
  <si>
    <t xml:space="preserve">R0001961</t>
  </si>
  <si>
    <t xml:space="preserve">R0009525</t>
  </si>
  <si>
    <t xml:space="preserve">DMARCAdvisor</t>
  </si>
  <si>
    <t xml:space="preserve">R0004820</t>
  </si>
  <si>
    <t xml:space="preserve">R0010268</t>
  </si>
  <si>
    <t xml:space="preserve">Mail-Signature Application (centralized)</t>
  </si>
  <si>
    <t xml:space="preserve">R0001958</t>
  </si>
  <si>
    <t xml:space="preserve">R0009522</t>
  </si>
  <si>
    <t xml:space="preserve">Mailjet</t>
  </si>
  <si>
    <t xml:space="preserve">R0009526</t>
  </si>
  <si>
    <t xml:space="preserve">Mailjet Managed Service</t>
  </si>
  <si>
    <t xml:space="preserve">R0001971</t>
  </si>
  <si>
    <t xml:space="preserve">R0009535</t>
  </si>
  <si>
    <t xml:space="preserve">M365 Copilot und Copilot Studio</t>
  </si>
  <si>
    <t xml:space="preserve">R0009064</t>
  </si>
  <si>
    <t xml:space="preserve">R0010457</t>
  </si>
  <si>
    <t xml:space="preserve">Microsoft M365 EA - Copilot Studio PAG Messages for Andreas Chatpot &amp; additional PoCs</t>
  </si>
  <si>
    <t xml:space="preserve">R0004818</t>
  </si>
  <si>
    <t xml:space="preserve">R0010267</t>
  </si>
  <si>
    <t xml:space="preserve">M365 Governance Software</t>
  </si>
  <si>
    <t xml:space="preserve">R0001956</t>
  </si>
  <si>
    <t xml:space="preserve">R0009521</t>
  </si>
  <si>
    <t xml:space="preserve">Microsoft M365 EA  - Multitenant E1 + E5</t>
  </si>
  <si>
    <t xml:space="preserve">R0001938</t>
  </si>
  <si>
    <t xml:space="preserve">R0009507</t>
  </si>
  <si>
    <t xml:space="preserve">Microsoft M365 EA -  Visio Plan 1</t>
  </si>
  <si>
    <t xml:space="preserve">R0001951</t>
  </si>
  <si>
    <t xml:space="preserve">R0009516</t>
  </si>
  <si>
    <t xml:space="preserve">Microsoft M365 EA -  Visio Plan 2</t>
  </si>
  <si>
    <t xml:space="preserve">R0001952</t>
  </si>
  <si>
    <t xml:space="preserve">R0009517</t>
  </si>
  <si>
    <t xml:space="preserve">Microsoft M365 EA - Entra und Intune</t>
  </si>
  <si>
    <t xml:space="preserve">R0004655</t>
  </si>
  <si>
    <t xml:space="preserve">R0010265</t>
  </si>
  <si>
    <t xml:space="preserve">Microsoft M365 EA - GitHub</t>
  </si>
  <si>
    <t xml:space="preserve">R0004780</t>
  </si>
  <si>
    <t xml:space="preserve">R0010266</t>
  </si>
  <si>
    <t xml:space="preserve">Microsoft M365 EA - PowerBI Premium Cap</t>
  </si>
  <si>
    <t xml:space="preserve">R0004613</t>
  </si>
  <si>
    <t xml:space="preserve">R0010263</t>
  </si>
  <si>
    <t xml:space="preserve">Microsoft M365 EA - Project Online</t>
  </si>
  <si>
    <t xml:space="preserve">R0004614</t>
  </si>
  <si>
    <t xml:space="preserve">R0010264</t>
  </si>
  <si>
    <t xml:space="preserve">Microsoft M365 EA - SharePoint Storage</t>
  </si>
  <si>
    <t xml:space="preserve">R0001940</t>
  </si>
  <si>
    <t xml:space="preserve">R0009508</t>
  </si>
  <si>
    <t xml:space="preserve">Microsoft M365 EA - Teams Rooms</t>
  </si>
  <si>
    <t xml:space="preserve">R0001944</t>
  </si>
  <si>
    <t xml:space="preserve">R0009512</t>
  </si>
  <si>
    <t xml:space="preserve">[Ratio Topf] Teams Phone Group EMEA / NMSA / ASPA UC and non-UC migration</t>
  </si>
  <si>
    <t xml:space="preserve">R0008739</t>
  </si>
  <si>
    <t xml:space="preserve">R0010446</t>
  </si>
  <si>
    <t xml:space="preserve">avodaq Beratung</t>
  </si>
  <si>
    <t xml:space="preserve">R0001966</t>
  </si>
  <si>
    <t xml:space="preserve">R0009530</t>
  </si>
  <si>
    <t xml:space="preserve">Cisco CVI</t>
  </si>
  <si>
    <t xml:space="preserve">R0001945</t>
  </si>
  <si>
    <t xml:space="preserve">R0009513</t>
  </si>
  <si>
    <t xml:space="preserve">Fax Managed Service</t>
  </si>
  <si>
    <t xml:space="preserve">R0001970</t>
  </si>
  <si>
    <t xml:space="preserve">R0009534</t>
  </si>
  <si>
    <t xml:space="preserve">Fax over IP</t>
  </si>
  <si>
    <t xml:space="preserve">R0001960</t>
  </si>
  <si>
    <t xml:space="preserve">R0009524</t>
  </si>
  <si>
    <t xml:space="preserve">Heydt Consulting UC Wartung &amp; Support</t>
  </si>
  <si>
    <t xml:space="preserve">R0001963</t>
  </si>
  <si>
    <t xml:space="preserve">R0009527</t>
  </si>
  <si>
    <t xml:space="preserve">L-EDV Unterstützung UC</t>
  </si>
  <si>
    <t xml:space="preserve">R0009506</t>
  </si>
  <si>
    <t xml:space="preserve">Managed Service Phone + Meeting (avodaq)</t>
  </si>
  <si>
    <t xml:space="preserve">R0004610</t>
  </si>
  <si>
    <t xml:space="preserve">R0010261</t>
  </si>
  <si>
    <t xml:space="preserve">Managed Service Videkonferenz (avodaq)</t>
  </si>
  <si>
    <t xml:space="preserve">R0004611</t>
  </si>
  <si>
    <t xml:space="preserve">R0010262</t>
  </si>
  <si>
    <t xml:space="preserve">MS Teams Neue Telefone Produktion</t>
  </si>
  <si>
    <t xml:space="preserve">R0004824</t>
  </si>
  <si>
    <t xml:space="preserve">R0010269</t>
  </si>
  <si>
    <t xml:space="preserve">MS Teams Telefone (Standard)</t>
  </si>
  <si>
    <t xml:space="preserve">R0004826</t>
  </si>
  <si>
    <t xml:space="preserve">R0010270</t>
  </si>
  <si>
    <t xml:space="preserve">Unified Communication Managed Service</t>
  </si>
  <si>
    <t xml:space="preserve">R0009533</t>
  </si>
  <si>
    <t xml:space="preserve">Webex CTI CRM Integration</t>
  </si>
  <si>
    <t xml:space="preserve">R0001943</t>
  </si>
  <si>
    <t xml:space="preserve">R0009511</t>
  </si>
  <si>
    <t xml:space="preserve">Webex FlexPlan - Calling</t>
  </si>
  <si>
    <t xml:space="preserve">R0001942</t>
  </si>
  <si>
    <t xml:space="preserve">R0009510</t>
  </si>
  <si>
    <t xml:space="preserve">Webex FlexPlan - Suite</t>
  </si>
  <si>
    <t xml:space="preserve">R0009509</t>
  </si>
  <si>
    <t xml:space="preserve">Summe</t>
  </si>
  <si>
    <t xml:space="preserve">Spalten K und L sind Quellwerte aus dem sFinx-Export (Blatt "Rohdaten sfinx"); alle übrigen Auswertungsspalten sind Formeln. Zuordnung "Cost Center (Sicht)" siehe Blatt "Legende".</t>
  </si>
  <si>
    <t xml:space="preserve">Resource Coin</t>
  </si>
  <si>
    <t xml:space="preserve">Cost center code</t>
  </si>
  <si>
    <t xml:space="preserve">Cost center </t>
  </si>
  <si>
    <t xml:space="preserve">Name</t>
  </si>
  <si>
    <t xml:space="preserve">Original Currency</t>
  </si>
  <si>
    <t xml:space="preserve">Account number</t>
  </si>
  <si>
    <t xml:space="preserve">Account name</t>
  </si>
  <si>
    <t xml:space="preserve">Total FY26</t>
  </si>
  <si>
    <t xml:space="preserve">Total FY27</t>
  </si>
  <si>
    <t xml:space="preserve">2026 - DE2060202</t>
  </si>
  <si>
    <t xml:space="preserve">2026 - DE2060202 - ITSM+ServiceNow NCE</t>
  </si>
  <si>
    <t xml:space="preserve">R0004187 - ServiceNow Modul Release Management (SAP)</t>
  </si>
  <si>
    <t xml:space="preserve">EUR</t>
  </si>
  <si>
    <t xml:space="preserve">R0001931 - ServiceNow Enterpise Contract</t>
  </si>
  <si>
    <t xml:space="preserve">R0008435 - ServiceNow SPM - Strategic Portfolio Management </t>
  </si>
  <si>
    <t xml:space="preserve">R0001935 - SMO Operations</t>
  </si>
  <si>
    <t xml:space="preserve">R0001933 - ITSM CSI Fokus</t>
  </si>
  <si>
    <t xml:space="preserve">R0001934 - ITSM Development</t>
  </si>
  <si>
    <t xml:space="preserve">2026 - DE2060203</t>
  </si>
  <si>
    <t xml:space="preserve">2026 - DE2060203 - Digital Collabo. NCE</t>
  </si>
  <si>
    <t xml:space="preserve">R0001966 - avodaq Beratung</t>
  </si>
  <si>
    <t xml:space="preserve">R0009064 - M365 Copilot und Copilot Studio</t>
  </si>
  <si>
    <t xml:space="preserve">R0001951 - Microsoft M365 EA -  Visio Plan 1</t>
  </si>
  <si>
    <t xml:space="preserve">R0001961 - Digital Signage Software</t>
  </si>
  <si>
    <t xml:space="preserve">R0004610 - Managed Service Phone + Meeting (avodaq)</t>
  </si>
  <si>
    <t xml:space="preserve">R0004613 - Microsoft M365 EA - PowerBI Premium Cap</t>
  </si>
  <si>
    <t xml:space="preserve">R0001970 - Fax Managed Service</t>
  </si>
  <si>
    <t xml:space="preserve">R0008739 - [Ratio Topf] Teams Phone Group EMEA / NMSA / ASPA UC and non-UC migration</t>
  </si>
  <si>
    <t xml:space="preserve">R0001973 - GWG bis 250 €</t>
  </si>
  <si>
    <t xml:space="preserve">R0001971 - Mailjet Managed Service</t>
  </si>
  <si>
    <t xml:space="preserve">R0001956 - M365 Governance Software</t>
  </si>
  <si>
    <t xml:space="preserve">R0001938 - Microsoft M365 EA  - Multitenant E1 + E5</t>
  </si>
  <si>
    <t xml:space="preserve">R0001963 - Heydt Consulting UC Wartung &amp; Support</t>
  </si>
  <si>
    <t xml:space="preserve">R0004655 - Microsoft M365 EA - Entra und Intune</t>
  </si>
  <si>
    <t xml:space="preserve">R0001954 - Think-Cell Microsoft PowerPoint Plugin</t>
  </si>
  <si>
    <t xml:space="preserve">R0001972 - GWG bis 1.000 €</t>
  </si>
  <si>
    <t xml:space="preserve">R0001964 - MHS Consulting Support &amp; Entwicklung</t>
  </si>
  <si>
    <t xml:space="preserve">R0001945 - Cisco CVI</t>
  </si>
  <si>
    <t xml:space="preserve">R0001952 - Microsoft M365 EA -  Visio Plan 2</t>
  </si>
  <si>
    <t xml:space="preserve">R0004826 - MS Teams Telefone (Standard)</t>
  </si>
  <si>
    <t xml:space="preserve">R0004824 - MS Teams Neue Telefone Produktion</t>
  </si>
  <si>
    <t xml:space="preserve">R0004820 - DMARCAdvisor</t>
  </si>
  <si>
    <t xml:space="preserve">R0001943 - Webex CTI CRM Integration</t>
  </si>
  <si>
    <t xml:space="preserve">R0004780 - Microsoft M365 EA - GitHub</t>
  </si>
  <si>
    <t xml:space="preserve">R0001944 - Microsoft M365 EA - Teams Rooms</t>
  </si>
  <si>
    <t xml:space="preserve">R0001960 - Fax over IP</t>
  </si>
  <si>
    <t xml:space="preserve">R0001955 - Boardwise VIP Solution</t>
  </si>
  <si>
    <t xml:space="preserve">R0001968 - M365 Beratung (inkl. Implementierung Schnittstellen z.B.: IDM)</t>
  </si>
  <si>
    <t xml:space="preserve">R0001950 - Mural Whiteboard Solution</t>
  </si>
  <si>
    <t xml:space="preserve">R0001942 - Webex FlexPlan - Calling</t>
  </si>
  <si>
    <t xml:space="preserve">R0001967 - Digital Signage Beratung</t>
  </si>
  <si>
    <t xml:space="preserve">R0004818 - Microsoft M365 EA - Copilot Studio PAG Messages for Andreas Chatpot &amp; additional PoCs</t>
  </si>
  <si>
    <t xml:space="preserve">R0001958 - Mail-Signature Application (centralized)</t>
  </si>
  <si>
    <t xml:space="preserve">R0001940 - Microsoft M365 EA - SharePoint Storage</t>
  </si>
  <si>
    <t xml:space="preserve">R0004614 - Microsoft M365 EA - Project Online</t>
  </si>
  <si>
    <t xml:space="preserve">R0004611 - Managed Service Videkonferenz (avodaq)</t>
  </si>
  <si>
    <t xml:space="preserve">R0001953 - Efficient Elements Microsoft PowerPoint Plugin</t>
  </si>
  <si>
    <t xml:space="preserve">2026 - DE2060204</t>
  </si>
  <si>
    <t xml:space="preserve">2026 - DE2060204 - Serv. Desk+Sup.NCE</t>
  </si>
  <si>
    <t xml:space="preserve">R0004136 - On-Hour Bechtle</t>
  </si>
  <si>
    <t xml:space="preserve">R0004606 - Sammler für IT Kleinteile Stammhaus</t>
  </si>
  <si>
    <t xml:space="preserve">R0001974 - Lexmark RFID Support</t>
  </si>
  <si>
    <t xml:space="preserve">R0004133 - Off Hour Bechtle Operations</t>
  </si>
  <si>
    <t xml:space="preserve">R0001990 - L-EDV Kleinteile</t>
  </si>
  <si>
    <t xml:space="preserve">R0001976 - L-EDV Client</t>
  </si>
  <si>
    <t xml:space="preserve">R0001979 - L-EDV Instandhaltung UC</t>
  </si>
  <si>
    <t xml:space="preserve">R0001988 - Heydt Kommunikation 2nd Level UC</t>
  </si>
  <si>
    <t xml:space="preserve">R0001977 - L-EDV Server</t>
  </si>
  <si>
    <t xml:space="preserve">R0001983 - LRS - VPSX Support</t>
  </si>
  <si>
    <t xml:space="preserve">R0001978 - L-EDV Logistik</t>
  </si>
  <si>
    <t xml:space="preserve">R0001975 - Plot Management Support</t>
  </si>
  <si>
    <t xml:space="preserve">R0001984 - LRS - Wartung</t>
  </si>
  <si>
    <t xml:space="preserve">R0001987 - Managed Service Desk</t>
  </si>
  <si>
    <t xml:space="preserve">R0001985 - Alarming - SMS</t>
  </si>
  <si>
    <t xml:space="preserve">R0001991 - L-EDV Drucker Ersatzteile</t>
  </si>
  <si>
    <t xml:space="preserve">R0001981 - Lexmark DFM</t>
  </si>
  <si>
    <t xml:space="preserve">DE2060203 - Modern Workplace &amp; Experience</t>
  </si>
  <si>
    <t xml:space="preserve">R0009524 - Fax over IP</t>
  </si>
  <si>
    <t xml:space="preserve">R0010263 - Microsoft M365 EA - PowerBI Premium Cap</t>
  </si>
  <si>
    <t xml:space="preserve">R0009527 - Heydt Consulting UC Wartung &amp; Support</t>
  </si>
  <si>
    <t xml:space="preserve">R0009519 - Think-Cell Microsoft PowerPoint Plugin</t>
  </si>
  <si>
    <t xml:space="preserve">R0009516 - Microsoft M365 EA -  Visio Plan 1</t>
  </si>
  <si>
    <t xml:space="preserve">R0009511 - Webex CTI CRM Integration</t>
  </si>
  <si>
    <t xml:space="preserve">R0009508 - Microsoft M365 EA - SharePoint Storage</t>
  </si>
  <si>
    <t xml:space="preserve">R0009534 - Fax Managed Service</t>
  </si>
  <si>
    <t xml:space="preserve">R0009515 - Mural Whiteboard Solution</t>
  </si>
  <si>
    <t xml:space="preserve">R0009509 - Webex FlexPlan - Suite</t>
  </si>
  <si>
    <t xml:space="preserve">R0009512 - Microsoft M365 EA - Teams Rooms</t>
  </si>
  <si>
    <t xml:space="preserve">R0009532 - M365 Beratung (inkl. Implementierung Schnittstellen z.B.: IDM)</t>
  </si>
  <si>
    <t xml:space="preserve">R0009510 - Webex FlexPlan - Calling</t>
  </si>
  <si>
    <t xml:space="preserve">R0009507 - Microsoft M365 EA  - Multitenant E1 + E5</t>
  </si>
  <si>
    <t xml:space="preserve">R0009518 - Efficient Elements Microsoft PowerPoint Plugin</t>
  </si>
  <si>
    <t xml:space="preserve">R0009521 - M365 Governance Software</t>
  </si>
  <si>
    <t xml:space="preserve">R0009525 - Digital Signage Software</t>
  </si>
  <si>
    <t xml:space="preserve">R0009536 - GWG bis 1.000 €</t>
  </si>
  <si>
    <t xml:space="preserve">R0009513 - Cisco CVI</t>
  </si>
  <si>
    <t xml:space="preserve">R0010269 - MS Teams Neue Telefone Produktion</t>
  </si>
  <si>
    <t xml:space="preserve">R0010266 - Microsoft M365 EA - GitHub</t>
  </si>
  <si>
    <t xml:space="preserve">R0009520 - Boardwise VIP Solution</t>
  </si>
  <si>
    <t xml:space="preserve">R0009514 - ShareGate Migrations-Tool</t>
  </si>
  <si>
    <t xml:space="preserve">R0009537 - GWG bis 250 €</t>
  </si>
  <si>
    <t xml:space="preserve">R0010261 - Managed Service Phone + Meeting (avodaq)</t>
  </si>
  <si>
    <t xml:space="preserve">R0010270 - MS Teams Telefone (Standard)</t>
  </si>
  <si>
    <t xml:space="preserve">R0009535 - Mailjet Managed Service</t>
  </si>
  <si>
    <t xml:space="preserve">R0009533 - Unified Communication Managed Service</t>
  </si>
  <si>
    <t xml:space="preserve">R0010446 - [Ratio Topf] Teams Phone Group EMEA / NMSA / ASPA UC and non-UC migration</t>
  </si>
  <si>
    <t xml:space="preserve">R0009531 - Digital Signage Beratung</t>
  </si>
  <si>
    <t xml:space="preserve">R0009523 - Treesize</t>
  </si>
  <si>
    <t xml:space="preserve">R0010264 - Microsoft M365 EA - Project Online</t>
  </si>
  <si>
    <t xml:space="preserve">R0009517 - Microsoft M365 EA -  Visio Plan 2</t>
  </si>
  <si>
    <t xml:space="preserve">R0010265 - Microsoft M365 EA - Entra und Intune</t>
  </si>
  <si>
    <t xml:space="preserve">R0009530 - avodaq Beratung</t>
  </si>
  <si>
    <t xml:space="preserve">R0010457 - M365 Copilot und Copilot Studio</t>
  </si>
  <si>
    <t xml:space="preserve">R0009528 - MHS Consulting Support &amp; Entwicklung</t>
  </si>
  <si>
    <t xml:space="preserve">R0009522 - Mail-Signature Application (centralized)</t>
  </si>
  <si>
    <t xml:space="preserve">R0010267 - Microsoft M365 EA - Copilot Studio PAG Messages for Andreas Chatpot &amp; additional PoCs</t>
  </si>
  <si>
    <t xml:space="preserve">R0009526 - Mailjet</t>
  </si>
  <si>
    <t xml:space="preserve">R0010268 - DMARCAdvisor</t>
  </si>
  <si>
    <t xml:space="preserve">R0009506 - L-EDV Unterstützung UC</t>
  </si>
  <si>
    <t xml:space="preserve">R0010262 - Managed Service Videkonferenz (avodaq)</t>
  </si>
  <si>
    <t xml:space="preserve">R0009529 - Novacapta Wartung &amp; Support</t>
  </si>
  <si>
    <t xml:space="preserve">R0009550 - Managed Service Desk</t>
  </si>
  <si>
    <t xml:space="preserve">R0009504 - ServiceNow Plattform Maintenance</t>
  </si>
  <si>
    <t xml:space="preserve">R0009551 - Heydt Kommunikation 2nd Level UC</t>
  </si>
  <si>
    <t xml:space="preserve">R0010679 - ServiceNow Modul IT Operation Monitoring ITOM (D-020936)</t>
  </si>
  <si>
    <t xml:space="preserve">R0009546 - LRS - VPSX Support</t>
  </si>
  <si>
    <t xml:space="preserve">R0009544 - Lexmark DFM</t>
  </si>
  <si>
    <t xml:space="preserve">R0009501 - ServiceNow Enterpise Contract</t>
  </si>
  <si>
    <t xml:space="preserve">R0009723 - ServiceNow Plattform Managed Service Operation</t>
  </si>
  <si>
    <t xml:space="preserve">R0010387 - ServiceNow SPM - Strategic Portfolio Management (D-020932)</t>
  </si>
  <si>
    <t xml:space="preserve">R0009552 - L-EDV Kleinteile</t>
  </si>
  <si>
    <t xml:space="preserve">R0010680 - ServiceNow SEPM Projekt Gestehung 2027 (D-020932)</t>
  </si>
  <si>
    <t xml:space="preserve">R0009547 - LRS - Wartung</t>
  </si>
  <si>
    <t xml:space="preserve">R0009543 - L-EDV Instandhaltung UC</t>
  </si>
  <si>
    <t xml:space="preserve">R0010253 - ServiceNow SBS Module</t>
  </si>
  <si>
    <t xml:space="preserve">R0009540 - L-EDV Client</t>
  </si>
  <si>
    <t xml:space="preserve">R0010259 - Sammler für IT Kleinteile Stammhaus</t>
  </si>
  <si>
    <t xml:space="preserve">R0009553 - L-EDV Drucker Ersatzteile</t>
  </si>
  <si>
    <t xml:space="preserve">R0010226 - On-Hour Bechtle</t>
  </si>
  <si>
    <t xml:space="preserve">R0009541 - L-EDV Server</t>
  </si>
  <si>
    <t xml:space="preserve">R0009542 - L-EDV Logistik</t>
  </si>
  <si>
    <t xml:space="preserve">R0009539 - Plot Management Support</t>
  </si>
  <si>
    <t xml:space="preserve">R0009545 - LRS - Lizenzen (dopplung SAC 2025)</t>
  </si>
  <si>
    <t xml:space="preserve">R0010225 - Off Hour Bechtle Operations</t>
  </si>
  <si>
    <t xml:space="preserve">DE2060502</t>
  </si>
  <si>
    <t xml:space="preserve">DE2060502 - IPS Management Office NCE</t>
  </si>
  <si>
    <t xml:space="preserve">R0009724 - IT-Finanzmanagement (sFinx)</t>
  </si>
  <si>
    <t xml:space="preserve">R0009725 - Lizenmanagement (Flexera)</t>
  </si>
  <si>
    <t xml:space="preserve">R0010588 - PMO Support Extern</t>
  </si>
  <si>
    <t xml:space="preserve">R0009503 - ITSM: Trainings</t>
  </si>
  <si>
    <t xml:space="preserve">R0009721 - Unterstützung Lizenzmanagement</t>
  </si>
  <si>
    <t xml:space="preserve">R0009722 - Weiterentwicklung IT-Finanzmanagement</t>
  </si>
  <si>
    <t xml:space="preserve">R0010218 - Weiterentwicklung IT-Demand Management</t>
  </si>
  <si>
    <t xml:space="preserve">R0009505 - ITSM: SMO Operations</t>
  </si>
  <si>
    <t xml:space="preserve">Unveränderter Originalexport. Enthält auch den aus der Auswertung ausgeschlossenen Cost Center DE2060502 – die Summen dieses Blatts weichen deshalb von den Auswertungsblättern ab (siehe Blatt "Legende", Abschnitt 5).</t>
  </si>
  <si>
    <t xml:space="preserve">Legende, Aufbau und Annahmen</t>
  </si>
  <si>
    <t xml:space="preserve">1) Quelle</t>
  </si>
  <si>
    <t xml:space="preserve">Datei</t>
  </si>
  <si>
    <t xml:space="preserve">SfinxExport_25082026.xlsx, Blatt "sfinx" (unverändert übernommen in Blatt "Rohdaten sfinx")</t>
  </si>
  <si>
    <t xml:space="preserve">Umfang</t>
  </si>
  <si>
    <t xml:space="preserve">60 Positionen FY26 und 75 Positionen FY27, Währung EUR, zusammengeführt zu 72 Vergleichszeilen im Blatt "Positionen"</t>
  </si>
  <si>
    <t xml:space="preserve">Quellwerte</t>
  </si>
  <si>
    <t xml:space="preserve">Nur die Spalten "Budget FY26" und "Budget FY27" im Blatt "Positionen" sind Werte aus dem Export. Alle anderen Zellen der Mappe sind Formeln und rechnen automatisch neu.</t>
  </si>
  <si>
    <t xml:space="preserve">2) Blattaufbau</t>
  </si>
  <si>
    <t xml:space="preserve">Dashboard</t>
  </si>
  <si>
    <t xml:space="preserve">Interaktive Sicht mit zwei Dropdowns (Cost Center / Thema), Kennzahlen, vier Diagrammen und der Top-Liste der Veränderungen.</t>
  </si>
  <si>
    <t xml:space="preserve">A) organisatorische Überführung FY26 → FY27, B) Ist-Sicht wie gebucht, C) organisatorisch bereinigte Sicht – B und C jeweils mit Diagramm.</t>
  </si>
  <si>
    <t xml:space="preserve">Themen</t>
  </si>
  <si>
    <t xml:space="preserve">Entwicklung je Thema, Matrix Thema x Cost Center (FY27 und Veränderung) sowie vier Diagramme.</t>
  </si>
  <si>
    <t xml:space="preserve">Detailtabelle aller Positionen, sortiert nach Cost-Center-Code, Thema und Bezeichnung. Mit Autofilter.</t>
  </si>
  <si>
    <t xml:space="preserve">Berechnung</t>
  </si>
  <si>
    <t xml:space="preserve">Hilfsblatt: Auswahllisten und formelbasierte Diagrammquellen des Dashboards. Bitte nicht löschen.</t>
  </si>
  <si>
    <t xml:space="preserve">Rohdaten sfinx</t>
  </si>
  <si>
    <t xml:space="preserve">Originalexport zur Nachvollziehbarkeit.</t>
  </si>
  <si>
    <t xml:space="preserve">3) Zuordnung der Positionen über die Jahre</t>
  </si>
  <si>
    <t xml:space="preserve">Matching</t>
  </si>
  <si>
    <t xml:space="preserve">FY26- und FY27-Positionen werden über die bereinigte Bezeichnung verknüpft (ohne R-Nummer, ohne Demand-Nummer "(D-0xxxxx)", ohne Präfix "ITSM:"). Die R-Nummern beider Jahre bleiben in den Spalten I und J sichtbar.</t>
  </si>
  <si>
    <t xml:space="preserve">"neu" = nur FY27 vorhanden · "entfallen" = nur FY26 vorhanden · "erhöht"/"reduziert"/"unverändert" = in beiden Jahren vorhanden.</t>
  </si>
  <si>
    <t xml:space="preserve">Weist auf einen Cost-Center-Wechsel einer Position zwischen FY26 und FY27 hin (Verlagerung).</t>
  </si>
  <si>
    <t xml:space="preserve">4) Annahmen (bitte prüfen)</t>
  </si>
  <si>
    <t xml:space="preserve">Überführung (Vorgabe)</t>
  </si>
  <si>
    <t xml:space="preserve">Vom Fachbereich vorgegeben und in Block A des Blatts "Cost Center" dokumentiert: DE2060202 (ITSM+ServiceNow) wurde in DE2060204 integriert · DE2060203 (Digital Collaboration) wurde nach DE206210 (Modern Workplace &amp; Experience) überführt · DE2060204 wird unverändert fortgeführt.</t>
  </si>
  <si>
    <t xml:space="preserve">Umschlüsselung DE206210</t>
  </si>
  <si>
    <t xml:space="preserve">Achtung: Der sFinx-Export führt den FY27-Cost-Center von Modern Workplace &amp; Experience noch unter dem alten Code DE2060203. Gemäß Vorgabe werden alle FY27-Zeilen dieses Cost Centers auf den Code DE206210 umgeschlüsselt. Im Blatt "Rohdaten sfinx" steht daher weiterhin DE2060203.</t>
  </si>
  <si>
    <t xml:space="preserve">Bereinigte Sicht</t>
  </si>
  <si>
    <t xml:space="preserve">Für die vergleichbare Sicht wird eine Position mit beiden Jahreswerten dem FY27-Cost-Center zugeordnet (z. B. ServiceNow Enterprise Contract: FY26 auf DE2060202, FY27 auf DE2060204 – beide Werte werden DE2060204 zugerechnet). Es verbleiben damit die beiden fortgeführten Cost Center DE2060204 und DE206210.</t>
  </si>
  <si>
    <t xml:space="preserve">FY26-Positionen ohne Nachfolger</t>
  </si>
  <si>
    <t xml:space="preserve">Positionen, die es nur in FY26 gibt, folgen der Überführung aus Block A: ITSM CSI Fokus, ITSM Development und ServiceNow Modul Release Management (SAP) (alle DE2060202) werden in der bereinigten Sicht DE2060204 zugeordnet, Alarming - SMS und Lexmark RFID Support bleiben bei DE2060204.</t>
  </si>
  <si>
    <t xml:space="preserve">Prüfhinweis</t>
  </si>
  <si>
    <t xml:space="preserve">Die Spalte "Bemerkung" im Blatt "Positionen" gleicht jeden Cost-Center-Wechsel gegen Block A ab. "Reorg-Überführung" = entspricht der Vorgabe; "abweichende Verlagerung" = weicht davon ab und ist zu prüfen. Aktuell tritt kein abweichender Fall auf.</t>
  </si>
  <si>
    <t xml:space="preserve">Die Themen sind eine fachliche Bündelung der Positionsbezeichnungen (Regelwerk im Skript). Ein Treffer entscheidet in dieser Reihenfolge: ITSM &amp; ServiceNow, KI &amp; Copilot, Microsoft M365, Unified Communications, E-Mail &amp; Messaging, Collaboration-Tools, Digital Signage, Client &amp; Endgeräte, Output Management, Service Desk, IT-Management. Beispiel: "Microsoft M365 EA - Copilot Studio ..." zählt zu "KI &amp; Copilot", nicht zu den M365-Lizenzen.</t>
  </si>
  <si>
    <t xml:space="preserve">ITSM- und ServiceNow-Positionen bilden gemäß Vorgabe ein gemeinsames Thema. Es umfasst alle Positionen mit "ServiceNow", "ITSM", "SPM", "SEPM", "ITOM" oder "SMO Operations" im Namen – unabhängig davon, ob sie als Lizenz, Plattformbetrieb oder Projektleistung gebucht sind.</t>
  </si>
  <si>
    <t xml:space="preserve">5) Ausgeschlossener Cost Center</t>
  </si>
  <si>
    <t xml:space="preserve">Der Cost Center DE2060502 (IPS Management Office NCE) ist auf Anforderung vollständig aus der Auswertung ausgeschlossen. Betroffen sind 8 Positionen, die auf keinem Blatt der Auswertung mehr enthalten sind – weder in den Tabellen noch in den Diagrammen oder Auswahllisten.</t>
  </si>
  <si>
    <t xml:space="preserve">Folge für FY26</t>
  </si>
  <si>
    <t xml:space="preserve">Die Position "ITSM: SMO Operations" (FY26 300.000 EUR, gebucht auf DE2060202; FY27 300.000 EUR auf DE2060502) entfällt mit beiden Jahreswerten. Der FY26-Ausweis von DE2060202 in der Ist-Sicht reduziert sich dadurch um 300.000 EUR gegenüber dem Rohexport.</t>
  </si>
  <si>
    <t xml:space="preserve">Entfallenes Thema</t>
  </si>
  <si>
    <t xml:space="preserve">Das Thema "IT-Management &amp; Governance" bestand ausschließlich aus DE2060502-Positionen und erscheint deshalb nicht mehr in der Auswertung.</t>
  </si>
  <si>
    <t xml:space="preserve">Rohdaten</t>
  </si>
  <si>
    <t xml:space="preserve">Das Blatt "Rohdaten sfinx" bleibt bewusst der unveränderte Originalexport und enthält DE2060502 weiterhin – als Nachweis der Quelle. Die Summen dort weichen daher von den Auswertungsblättern ab.</t>
  </si>
  <si>
    <t xml:space="preserve">6) Farb- und Formatlogik</t>
  </si>
  <si>
    <t xml:space="preserve">Rot</t>
  </si>
  <si>
    <t xml:space="preserve">Budgetanstieg FY27 gegenüber FY26 (Kostensteigerung).</t>
  </si>
  <si>
    <t xml:space="preserve">Grün</t>
  </si>
  <si>
    <t xml:space="preserve">Budgetreduktion FY27 gegenüber FY26.</t>
  </si>
  <si>
    <t xml:space="preserve">Gelbe Zelle</t>
  </si>
  <si>
    <t xml:space="preserve">Eingabe-/Auswahlfeld (Dropdown) im Dashboard.</t>
  </si>
  <si>
    <t xml:space="preserve">Zahlenformat</t>
  </si>
  <si>
    <t xml:space="preserve">Beträge in EUR ohne Nachkommastellen, Nullwerte als "–". Prozentwerte mit einer Nachkommastelle.</t>
  </si>
  <si>
    <t xml:space="preserve">Erstellt am</t>
  </si>
  <si>
    <t xml:space="preserve">25.08.2026 · erzeugt mit dem Skript build_budget_analysis.py (reproduzierbar)</t>
  </si>
  <si>
    <t xml:space="preserve">Hilfsdaten für das Dashboard – bitte nicht löschen</t>
  </si>
  <si>
    <t xml:space="preserve">Liste Cost Center</t>
  </si>
  <si>
    <t xml:space="preserve">Liste Themen</t>
  </si>
  <si>
    <t xml:space="preserve">Filterkriterien (SUMIFS)</t>
  </si>
  <si>
    <t xml:space="preserve">"*" = Platzhalter, trifft jeden Eintrag (Auswahl "Alle").</t>
  </si>
  <si>
    <t xml:space="preserve">Block 1 – Themen (Filter: Cost Center)</t>
  </si>
  <si>
    <t xml:space="preserve">Delta</t>
  </si>
  <si>
    <t xml:space="preserve">Block 2 – Cost Center (Filter: Thema)</t>
  </si>
  <si>
    <t xml:space="preserve">Block 3 – Kostenarten (Filter: Cost Center + Thema)</t>
  </si>
  <si>
    <t xml:space="preserve">Kostenart</t>
  </si>
  <si>
    <t xml:space="preserve">Block 4 – Rangwerte je Position (Filter: Cost Center + Thema)</t>
  </si>
  <si>
    <t xml:space="preserve">Rangwert |Delta|</t>
  </si>
  <si>
    <t xml:space="preserve">Block 5 – Top-Veränderungen (Diagrammquelle)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</si>
</sst>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–"/>
    <numFmt numFmtId="166" formatCode="0.0%;\-0.0%;\–"/>
    <numFmt numFmtId="167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DEDEC"/>
      </patternFill>
    </fill>
    <fill>
      <patternFill patternType="solid">
        <fgColor rgb="FF2E5C8A"/>
        <bgColor rgb="FF4672A8"/>
      </patternFill>
    </fill>
    <fill>
      <patternFill patternType="solid">
        <fgColor rgb="FFEEF3F9"/>
        <bgColor rgb="FFEAF7EF"/>
      </patternFill>
    </fill>
    <fill>
      <patternFill patternType="solid">
        <fgColor rgb="FF1F3864"/>
        <bgColor rgb="FF2E5C8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name val="Arial"/>
        <charset val="1"/>
        <family val="0"/>
        <b val="1"/>
        <color rgb="FFC0392B"/>
        <sz val="13"/>
      </font>
    </dxf>
    <dxf>
      <font>
        <name val="Arial"/>
        <charset val="1"/>
        <family val="0"/>
        <b val="1"/>
        <color rgb="FF1E8449"/>
        <sz val="13"/>
      </font>
    </dxf>
    <dxf>
      <font>
        <name val="Arial"/>
        <charset val="1"/>
        <family val="0"/>
        <b val="1"/>
        <color rgb="FFC0392B"/>
        <sz val="10"/>
      </font>
    </dxf>
    <dxf>
      <font>
        <name val="Arial"/>
        <charset val="1"/>
        <family val="0"/>
        <b val="1"/>
        <color rgb="FF1E8449"/>
        <sz val="10"/>
      </font>
    </dxf>
    <dxf>
      <font>
        <name val="Arial"/>
        <charset val="1"/>
        <family val="0"/>
        <b val="1"/>
        <color rgb="FFC0392B"/>
        <sz val="10"/>
      </font>
      <fill>
        <patternFill>
          <bgColor rgb="FFFDEDEC"/>
        </patternFill>
      </fill>
    </dxf>
    <dxf>
      <font>
        <name val="Arial"/>
        <charset val="1"/>
        <family val="0"/>
        <b val="1"/>
        <color rgb="FF1E8449"/>
        <sz val="10"/>
      </font>
      <fill>
        <patternFill>
          <bgColor rgb="FFEAF7EF"/>
        </patternFill>
      </fill>
    </dxf>
    <dxf>
      <fill>
        <patternFill patternType="solid">
          <fgColor rgb="FF2E5C8A"/>
          <bgColor rgb="FF000000"/>
        </patternFill>
      </fill>
    </dxf>
    <dxf>
      <fill>
        <patternFill patternType="solid">
          <fgColor rgb="FFEEF3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ont>
        <name val="Arial"/>
        <charset val="1"/>
        <family val="0"/>
        <color rgb="FFC0392B"/>
        <sz val="10"/>
      </font>
    </dxf>
    <dxf>
      <font>
        <name val="Arial"/>
        <charset val="1"/>
        <family val="0"/>
        <color rgb="FF1E8449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FBFBF"/>
      <rgbColor rgb="FF878787"/>
      <rgbColor rgb="FF93A9CE"/>
      <rgbColor rgb="FFAB4744"/>
      <rgbColor rgb="FFFFF2CC"/>
      <rgbColor rgb="FFEAF7E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9"/>
      <rgbColor rgb="FFCCFFCC"/>
      <rgbColor rgb="FFFDEDEC"/>
      <rgbColor rgb="FFA6B8CC"/>
      <rgbColor rgb="FFD09493"/>
      <rgbColor rgb="FFCC99FF"/>
      <rgbColor rgb="FFB8CD97"/>
      <rgbColor rgb="FF4672A8"/>
      <rgbColor rgb="FF4299B0"/>
      <rgbColor rgb="FF99CC00"/>
      <rgbColor rgb="FFFFCC00"/>
      <rgbColor rgb="FFFF9900"/>
      <rgbColor rgb="FFFF6600"/>
      <rgbColor rgb="FF725990"/>
      <rgbColor rgb="FFA99BBD"/>
      <rgbColor rgb="FF1F3864"/>
      <rgbColor rgb="FF1E8449"/>
      <rgbColor rgb="FF003300"/>
      <rgbColor rgb="FF333300"/>
      <rgbColor rgb="FFC0392B"/>
      <rgbColor rgb="FFC0504D"/>
      <rgbColor rgb="FF2E5C8A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je Thema FY26 vs. FY27  (Filter: Cost Center)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Berechnung!B10</c:f>
              <c:strCache>
                <c:ptCount val="1"/>
                <c:pt idx="0">
                  <c:v>FY26</c:v>
                </c:pt>
              </c:strCache>
            </c:strRef>
          </c:tx>
          <c:spPr>
            <a:solidFill>
              <a:srgbClr val="a6b8c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Berechnung!$A$11:$A$20</c:f>
              <c:strCache>
                <c:ptCount val="10"/>
                <c:pt idx="0">
                  <c:v>Client &amp; Endgeräte (L-EDV)</c:v>
                </c:pt>
                <c:pt idx="1">
                  <c:v>Collaboration- &amp; Produktivitäts-Tools</c:v>
                </c:pt>
                <c:pt idx="2">
                  <c:v>Digital Signage</c:v>
                </c:pt>
                <c:pt idx="3">
                  <c:v>E-Mail &amp; Messaging Security</c:v>
                </c:pt>
                <c:pt idx="4">
                  <c:v>ITSM &amp; ServiceNow</c:v>
                </c:pt>
                <c:pt idx="5">
                  <c:v>KI &amp; Copilot</c:v>
                </c:pt>
                <c:pt idx="6">
                  <c:v>Microsoft M365 Lizenzen</c:v>
                </c:pt>
                <c:pt idx="7">
                  <c:v>Output Management &amp; Druck</c:v>
                </c:pt>
                <c:pt idx="8">
                  <c:v>Service Desk &amp; User Support</c:v>
                </c:pt>
                <c:pt idx="9">
                  <c:v>Unified Communications &amp; Telefonie</c:v>
                </c:pt>
              </c:strCache>
            </c:strRef>
          </c:cat>
          <c:val>
            <c:numRef>
              <c:f>Berechnung!$B$11:$B$20</c:f>
              <c:numCache>
                <c:formatCode>#,##0;\-#,##0;\–</c:formatCode>
                <c:ptCount val="10"/>
                <c:pt idx="0">
                  <c:v>3953000</c:v>
                </c:pt>
                <c:pt idx="1">
                  <c:v>277100</c:v>
                </c:pt>
                <c:pt idx="2">
                  <c:v>8000</c:v>
                </c:pt>
                <c:pt idx="3">
                  <c:v>64000</c:v>
                </c:pt>
                <c:pt idx="4">
                  <c:v>1055000</c:v>
                </c:pt>
                <c:pt idx="5">
                  <c:v>465000</c:v>
                </c:pt>
                <c:pt idx="6">
                  <c:v>7925500</c:v>
                </c:pt>
                <c:pt idx="7">
                  <c:v>131000</c:v>
                </c:pt>
                <c:pt idx="8">
                  <c:v>466200</c:v>
                </c:pt>
                <c:pt idx="9">
                  <c:v>1819500</c:v>
                </c:pt>
              </c:numCache>
            </c:numRef>
          </c:val>
        </c:ser>
        <c:ser>
          <c:idx val="1"/>
          <c:order val="1"/>
          <c:tx>
            <c:strRef>
              <c:f>Berechnung!C10</c:f>
              <c:strCache>
                <c:ptCount val="1"/>
                <c:pt idx="0">
                  <c:v>FY27</c:v>
                </c:pt>
              </c:strCache>
            </c:strRef>
          </c:tx>
          <c:spPr>
            <a:solidFill>
              <a:srgbClr val="2e5c8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Berechnung!$A$11:$A$20</c:f>
              <c:strCache>
                <c:ptCount val="10"/>
                <c:pt idx="0">
                  <c:v>Client &amp; Endgeräte (L-EDV)</c:v>
                </c:pt>
                <c:pt idx="1">
                  <c:v>Collaboration- &amp; Produktivitäts-Tools</c:v>
                </c:pt>
                <c:pt idx="2">
                  <c:v>Digital Signage</c:v>
                </c:pt>
                <c:pt idx="3">
                  <c:v>E-Mail &amp; Messaging Security</c:v>
                </c:pt>
                <c:pt idx="4">
                  <c:v>ITSM &amp; ServiceNow</c:v>
                </c:pt>
                <c:pt idx="5">
                  <c:v>KI &amp; Copilot</c:v>
                </c:pt>
                <c:pt idx="6">
                  <c:v>Microsoft M365 Lizenzen</c:v>
                </c:pt>
                <c:pt idx="7">
                  <c:v>Output Management &amp; Druck</c:v>
                </c:pt>
                <c:pt idx="8">
                  <c:v>Service Desk &amp; User Support</c:v>
                </c:pt>
                <c:pt idx="9">
                  <c:v>Unified Communications &amp; Telefonie</c:v>
                </c:pt>
              </c:strCache>
            </c:strRef>
          </c:cat>
          <c:val>
            <c:numRef>
              <c:f>Berechnung!$C$11:$C$20</c:f>
              <c:numCache>
                <c:formatCode>#,##0;\-#,##0;\–</c:formatCode>
                <c:ptCount val="10"/>
                <c:pt idx="0">
                  <c:v>4105500</c:v>
                </c:pt>
                <c:pt idx="1">
                  <c:v>347300</c:v>
                </c:pt>
                <c:pt idx="2">
                  <c:v>8000</c:v>
                </c:pt>
                <c:pt idx="3">
                  <c:v>62000</c:v>
                </c:pt>
                <c:pt idx="4">
                  <c:v>2810000</c:v>
                </c:pt>
                <c:pt idx="5">
                  <c:v>240000</c:v>
                </c:pt>
                <c:pt idx="6">
                  <c:v>7800000</c:v>
                </c:pt>
                <c:pt idx="7">
                  <c:v>154600</c:v>
                </c:pt>
                <c:pt idx="8">
                  <c:v>458400</c:v>
                </c:pt>
                <c:pt idx="9">
                  <c:v>2394295</c:v>
                </c:pt>
              </c:numCache>
            </c:numRef>
          </c:val>
        </c:ser>
        <c:gapWidth val="60"/>
        <c:overlap val="0"/>
        <c:axId val="67127473"/>
        <c:axId val="44089864"/>
      </c:barChart>
      <c:catAx>
        <c:axId val="671274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89864"/>
        <c:crosses val="autoZero"/>
        <c:auto val="1"/>
        <c:lblAlgn val="ctr"/>
        <c:lblOffset val="100"/>
        <c:noMultiLvlLbl val="0"/>
      </c:catAx>
      <c:valAx>
        <c:axId val="440898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;\-#,##0;\–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274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je Cost Center FY26 vs. FY27  (Filter: Thema)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Berechnung!B24</c:f>
              <c:strCache>
                <c:ptCount val="1"/>
                <c:pt idx="0">
                  <c:v>FY26</c:v>
                </c:pt>
              </c:strCache>
            </c:strRef>
          </c:tx>
          <c:spPr>
            <a:solidFill>
              <a:srgbClr val="a6b8c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Berechnung!$A$25:$A$26</c:f>
              <c:strCache>
                <c:ptCount val="2"/>
                <c:pt idx="0">
                  <c:v>DE2060204</c:v>
                </c:pt>
                <c:pt idx="1">
                  <c:v>DE206210</c:v>
                </c:pt>
              </c:strCache>
            </c:strRef>
          </c:cat>
          <c:val>
            <c:numRef>
              <c:f>Berechnung!$B$25:$B$26</c:f>
              <c:numCache>
                <c:formatCode>#,##0;\-#,##0;\–</c:formatCode>
                <c:ptCount val="2"/>
                <c:pt idx="0">
                  <c:v>5665700</c:v>
                </c:pt>
                <c:pt idx="1">
                  <c:v>10498600</c:v>
                </c:pt>
              </c:numCache>
            </c:numRef>
          </c:val>
        </c:ser>
        <c:ser>
          <c:idx val="1"/>
          <c:order val="1"/>
          <c:tx>
            <c:strRef>
              <c:f>Berechnung!C24</c:f>
              <c:strCache>
                <c:ptCount val="1"/>
                <c:pt idx="0">
                  <c:v>FY27</c:v>
                </c:pt>
              </c:strCache>
            </c:strRef>
          </c:tx>
          <c:spPr>
            <a:solidFill>
              <a:srgbClr val="2e5c8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Berechnung!$A$25:$A$26</c:f>
              <c:strCache>
                <c:ptCount val="2"/>
                <c:pt idx="0">
                  <c:v>DE2060204</c:v>
                </c:pt>
                <c:pt idx="1">
                  <c:v>DE206210</c:v>
                </c:pt>
              </c:strCache>
            </c:strRef>
          </c:cat>
          <c:val>
            <c:numRef>
              <c:f>Berechnung!$C$25:$C$26</c:f>
              <c:numCache>
                <c:formatCode>#,##0;\-#,##0;\–</c:formatCode>
                <c:ptCount val="2"/>
                <c:pt idx="0">
                  <c:v>7576000</c:v>
                </c:pt>
                <c:pt idx="1">
                  <c:v>10804095</c:v>
                </c:pt>
              </c:numCache>
            </c:numRef>
          </c:val>
        </c:ser>
        <c:gapWidth val="60"/>
        <c:overlap val="0"/>
        <c:axId val="62019939"/>
        <c:axId val="8443922"/>
      </c:barChart>
      <c:catAx>
        <c:axId val="620199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3922"/>
        <c:crosses val="autoZero"/>
        <c:auto val="1"/>
        <c:lblAlgn val="ctr"/>
        <c:lblOffset val="100"/>
        <c:noMultiLvlLbl val="0"/>
      </c:catAx>
      <c:valAx>
        <c:axId val="84439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;\-#,##0;\–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199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je Kostenart FY26 vs. FY27  (Filter: Cost Center + Thema)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Berechnung!B30</c:f>
              <c:strCache>
                <c:ptCount val="1"/>
                <c:pt idx="0">
                  <c:v>FY26</c:v>
                </c:pt>
              </c:strCache>
            </c:strRef>
          </c:tx>
          <c:spPr>
            <a:solidFill>
              <a:srgbClr val="a6b8c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Berechnung!$A$31:$A$38</c:f>
              <c:strCache>
                <c:ptCount val="8"/>
                <c:pt idx="0">
                  <c:v>Exp. repairs and maint.-IT hardware</c:v>
                </c:pt>
                <c:pt idx="1">
                  <c:v>Exp. repairs and maint.-software</c:v>
                </c:pt>
                <c:pt idx="2">
                  <c:v>Expenses for low value assets (for DE 250 EUR - 1000 EUR)</c:v>
                </c:pt>
                <c:pt idx="3">
                  <c:v>Expenses for rent - software</c:v>
                </c:pt>
                <c:pt idx="4">
                  <c:v>Expenses for small items &lt; 250 EUR</c:v>
                </c:pt>
                <c:pt idx="5">
                  <c:v>Other. outside serv. – IT managed services</c:v>
                </c:pt>
                <c:pt idx="6">
                  <c:v>Other. outside serv.-IT related services</c:v>
                </c:pt>
                <c:pt idx="7">
                  <c:v>Transfer Functional Cost</c:v>
                </c:pt>
              </c:strCache>
            </c:strRef>
          </c:cat>
          <c:val>
            <c:numRef>
              <c:f>Berechnung!$B$31:$B$38</c:f>
              <c:numCache>
                <c:formatCode>#,##0;\-#,##0;\–</c:formatCode>
                <c:ptCount val="8"/>
                <c:pt idx="0">
                  <c:v>3634000</c:v>
                </c:pt>
                <c:pt idx="1">
                  <c:v>97000</c:v>
                </c:pt>
                <c:pt idx="2">
                  <c:v>137500</c:v>
                </c:pt>
                <c:pt idx="3">
                  <c:v>9896100</c:v>
                </c:pt>
                <c:pt idx="4">
                  <c:v>5000</c:v>
                </c:pt>
                <c:pt idx="5">
                  <c:v>1326700</c:v>
                </c:pt>
                <c:pt idx="6">
                  <c:v>768000</c:v>
                </c:pt>
                <c:pt idx="7">
                  <c:v>300000</c:v>
                </c:pt>
              </c:numCache>
            </c:numRef>
          </c:val>
        </c:ser>
        <c:ser>
          <c:idx val="1"/>
          <c:order val="1"/>
          <c:tx>
            <c:strRef>
              <c:f>Berechnung!C30</c:f>
              <c:strCache>
                <c:ptCount val="1"/>
                <c:pt idx="0">
                  <c:v>FY27</c:v>
                </c:pt>
              </c:strCache>
            </c:strRef>
          </c:tx>
          <c:spPr>
            <a:solidFill>
              <a:srgbClr val="2e5c8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Berechnung!$A$31:$A$38</c:f>
              <c:strCache>
                <c:ptCount val="8"/>
                <c:pt idx="0">
                  <c:v>Exp. repairs and maint.-IT hardware</c:v>
                </c:pt>
                <c:pt idx="1">
                  <c:v>Exp. repairs and maint.-software</c:v>
                </c:pt>
                <c:pt idx="2">
                  <c:v>Expenses for low value assets (for DE 250 EUR - 1000 EUR)</c:v>
                </c:pt>
                <c:pt idx="3">
                  <c:v>Expenses for rent - software</c:v>
                </c:pt>
                <c:pt idx="4">
                  <c:v>Expenses for small items &lt; 250 EUR</c:v>
                </c:pt>
                <c:pt idx="5">
                  <c:v>Other. outside serv. – IT managed services</c:v>
                </c:pt>
                <c:pt idx="6">
                  <c:v>Other. outside serv.-IT related services</c:v>
                </c:pt>
                <c:pt idx="7">
                  <c:v>Transfer Functional Cost</c:v>
                </c:pt>
              </c:strCache>
            </c:strRef>
          </c:cat>
          <c:val>
            <c:numRef>
              <c:f>Berechnung!$C$31:$C$38</c:f>
              <c:numCache>
                <c:formatCode>#,##0;\-#,##0;\–</c:formatCode>
                <c:ptCount val="8"/>
                <c:pt idx="0">
                  <c:v>3764045</c:v>
                </c:pt>
                <c:pt idx="1">
                  <c:v>108500</c:v>
                </c:pt>
                <c:pt idx="2">
                  <c:v>148000</c:v>
                </c:pt>
                <c:pt idx="3">
                  <c:v>10498650</c:v>
                </c:pt>
                <c:pt idx="4">
                  <c:v>5000</c:v>
                </c:pt>
                <c:pt idx="5">
                  <c:v>1845700</c:v>
                </c:pt>
                <c:pt idx="6">
                  <c:v>1710200</c:v>
                </c:pt>
                <c:pt idx="7">
                  <c:v>300000</c:v>
                </c:pt>
              </c:numCache>
            </c:numRef>
          </c:val>
        </c:ser>
        <c:gapWidth val="60"/>
        <c:overlap val="0"/>
        <c:axId val="15844784"/>
        <c:axId val="34822279"/>
      </c:barChart>
      <c:catAx>
        <c:axId val="1584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22279"/>
        <c:crosses val="autoZero"/>
        <c:auto val="1"/>
        <c:lblAlgn val="ctr"/>
        <c:lblOffset val="100"/>
        <c:noMultiLvlLbl val="0"/>
      </c:catAx>
      <c:valAx>
        <c:axId val="348222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;\-#,##0;\–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447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12 Veränderungen nach Betrag  (Filter: Cost Center + Thema)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Berechnung!B118</c:f>
              <c:strCache>
                <c:ptCount val="1"/>
                <c:pt idx="0">
                  <c:v>Delta</c:v>
                </c:pt>
              </c:strCache>
            </c:strRef>
          </c:tx>
          <c:spPr>
            <a:solidFill>
              <a:srgbClr val="2e5c8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Berechnung!$A$119:$A$130</c:f>
              <c:strCache>
                <c:ptCount val="12"/>
                <c:pt idx="0">
                  <c:v>ServiceNow SEPM Projekt Gestehung 2027 (D-020932)</c:v>
                </c:pt>
                <c:pt idx="1">
                  <c:v>Unified Communication Managed Service</c:v>
                </c:pt>
                <c:pt idx="2">
                  <c:v>ServiceNow Modul IT Operation Monitoring ITOM (D-020936)</c:v>
                </c:pt>
                <c:pt idx="3">
                  <c:v>ServiceNow Enterpise Contract</c:v>
                </c:pt>
                <c:pt idx="4">
                  <c:v>M365 Copilot und Copilot Studio</c:v>
                </c:pt>
                <c:pt idx="5">
                  <c:v>ServiceNow Plattform Maintenance</c:v>
                </c:pt>
                <c:pt idx="6">
                  <c:v>ServiceNow Plattform Managed Service Operation</c:v>
                </c:pt>
                <c:pt idx="7">
                  <c:v>L-EDV Client</c:v>
                </c:pt>
                <c:pt idx="8">
                  <c:v>ServiceNow SPM - Strategic Portfolio Management (D-020932)</c:v>
                </c:pt>
                <c:pt idx="9">
                  <c:v>ServiceNow Modul Release Management (SAP)</c:v>
                </c:pt>
                <c:pt idx="10">
                  <c:v>ITSM Development</c:v>
                </c:pt>
                <c:pt idx="11">
                  <c:v>Webex FlexPlan - Suite</c:v>
                </c:pt>
              </c:strCache>
            </c:strRef>
          </c:cat>
          <c:val>
            <c:numRef>
              <c:f>Berechnung!$B$119:$B$130</c:f>
              <c:numCache>
                <c:formatCode>#,##0;\-#,##0;\–</c:formatCode>
                <c:ptCount val="12"/>
                <c:pt idx="0">
                  <c:v>800000</c:v>
                </c:pt>
                <c:pt idx="1">
                  <c:v>490000</c:v>
                </c:pt>
                <c:pt idx="2">
                  <c:v>400000</c:v>
                </c:pt>
                <c:pt idx="3">
                  <c:v>375000</c:v>
                </c:pt>
                <c:pt idx="4">
                  <c:v>-225000</c:v>
                </c:pt>
                <c:pt idx="5">
                  <c:v>140000</c:v>
                </c:pt>
                <c:pt idx="6">
                  <c:v>120000</c:v>
                </c:pt>
                <c:pt idx="7">
                  <c:v>100000</c:v>
                </c:pt>
                <c:pt idx="8">
                  <c:v>90000</c:v>
                </c:pt>
                <c:pt idx="9">
                  <c:v>-85000</c:v>
                </c:pt>
                <c:pt idx="10">
                  <c:v>-85000</c:v>
                </c:pt>
                <c:pt idx="11">
                  <c:v>75000</c:v>
                </c:pt>
              </c:numCache>
            </c:numRef>
          </c:val>
        </c:ser>
        <c:gapWidth val="60"/>
        <c:overlap val="0"/>
        <c:axId val="58093950"/>
        <c:axId val="58149180"/>
      </c:barChart>
      <c:catAx>
        <c:axId val="580939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49180"/>
        <c:crosses val="autoZero"/>
        <c:auto val="1"/>
        <c:lblAlgn val="ctr"/>
        <c:lblOffset val="100"/>
        <c:noMultiLvlLbl val="0"/>
      </c:catAx>
      <c:valAx>
        <c:axId val="581491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;\-#,##0;\–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93950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Ist-Sicht: Budget je Cost Center FY26 vs. FY27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'Cost Center'!D13</c:f>
              <c:strCache>
                <c:ptCount val="1"/>
                <c:pt idx="0">
                  <c:v>Budget FY26</c:v>
                </c:pt>
              </c:strCache>
            </c:strRef>
          </c:tx>
          <c:spPr>
            <a:solidFill>
              <a:srgbClr val="a6b8cc"/>
            </a:solidFill>
            <a:ln w="0">
              <a:noFill/>
            </a:ln>
          </c:spPr>
          <c:invertIfNegative val="0"/>
          <c:dLbls>
            <c:numFmt formatCode="#,##0;\-#,##0;\–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Center'!$A$14:$A$17</c:f>
              <c:strCache>
                <c:ptCount val="4"/>
                <c:pt idx="0">
                  <c:v>DE2060202</c:v>
                </c:pt>
                <c:pt idx="1">
                  <c:v>DE2060203</c:v>
                </c:pt>
                <c:pt idx="2">
                  <c:v>DE2060204</c:v>
                </c:pt>
                <c:pt idx="3">
                  <c:v>DE206210</c:v>
                </c:pt>
              </c:strCache>
            </c:strRef>
          </c:cat>
          <c:val>
            <c:numRef>
              <c:f>'Cost Center'!$D$14:$D$17</c:f>
              <c:numCache>
                <c:formatCode>#,##0;\-#,##0;\–</c:formatCode>
                <c:ptCount val="4"/>
                <c:pt idx="0">
                  <c:v>1055000</c:v>
                </c:pt>
                <c:pt idx="1">
                  <c:v>10498600</c:v>
                </c:pt>
                <c:pt idx="2">
                  <c:v>4610700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'Cost Center'!E13</c:f>
              <c:strCache>
                <c:ptCount val="1"/>
                <c:pt idx="0">
                  <c:v>Budget FY27</c:v>
                </c:pt>
              </c:strCache>
            </c:strRef>
          </c:tx>
          <c:spPr>
            <a:solidFill>
              <a:srgbClr val="2e5c8a"/>
            </a:solidFill>
            <a:ln w="0">
              <a:noFill/>
            </a:ln>
          </c:spPr>
          <c:invertIfNegative val="0"/>
          <c:dLbls>
            <c:numFmt formatCode="#,##0;\-#,##0;\–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Center'!$A$14:$A$17</c:f>
              <c:strCache>
                <c:ptCount val="4"/>
                <c:pt idx="0">
                  <c:v>DE2060202</c:v>
                </c:pt>
                <c:pt idx="1">
                  <c:v>DE2060203</c:v>
                </c:pt>
                <c:pt idx="2">
                  <c:v>DE2060204</c:v>
                </c:pt>
                <c:pt idx="3">
                  <c:v>DE206210</c:v>
                </c:pt>
              </c:strCache>
            </c:strRef>
          </c:cat>
          <c:val>
            <c:numRef>
              <c:f>'Cost Center'!$E$14:$E$17</c:f>
              <c:numCache>
                <c:formatCode>#,##0;\-#,##0;\–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7576000</c:v>
                </c:pt>
                <c:pt idx="3">
                  <c:v>10804095</c:v>
                </c:pt>
              </c:numCache>
            </c:numRef>
          </c:val>
        </c:ser>
        <c:gapWidth val="60"/>
        <c:overlap val="0"/>
        <c:axId val="45369498"/>
        <c:axId val="81255284"/>
      </c:barChart>
      <c:catAx>
        <c:axId val="453694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55284"/>
        <c:crosses val="autoZero"/>
        <c:auto val="1"/>
        <c:lblAlgn val="ctr"/>
        <c:lblOffset val="100"/>
        <c:noMultiLvlLbl val="0"/>
      </c:catAx>
      <c:valAx>
        <c:axId val="8125528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;\-#,##0;\–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694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Bereinigte Sicht: Budget je Cost Center FY26 vs. FY27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'Cost Center'!D23</c:f>
              <c:strCache>
                <c:ptCount val="1"/>
                <c:pt idx="0">
                  <c:v>Budget FY26</c:v>
                </c:pt>
              </c:strCache>
            </c:strRef>
          </c:tx>
          <c:spPr>
            <a:solidFill>
              <a:srgbClr val="a6b8cc"/>
            </a:solidFill>
            <a:ln w="0">
              <a:noFill/>
            </a:ln>
          </c:spPr>
          <c:invertIfNegative val="0"/>
          <c:dLbls>
            <c:numFmt formatCode="#,##0;\-#,##0;\–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Center'!$A$24:$A$25</c:f>
              <c:strCache>
                <c:ptCount val="2"/>
                <c:pt idx="0">
                  <c:v>DE2060204</c:v>
                </c:pt>
                <c:pt idx="1">
                  <c:v>DE206210</c:v>
                </c:pt>
              </c:strCache>
            </c:strRef>
          </c:cat>
          <c:val>
            <c:numRef>
              <c:f>'Cost Center'!$D$24:$D$25</c:f>
              <c:numCache>
                <c:formatCode>#,##0;\-#,##0;\–</c:formatCode>
                <c:ptCount val="2"/>
                <c:pt idx="0">
                  <c:v>5665700</c:v>
                </c:pt>
                <c:pt idx="1">
                  <c:v>10498600</c:v>
                </c:pt>
              </c:numCache>
            </c:numRef>
          </c:val>
        </c:ser>
        <c:ser>
          <c:idx val="1"/>
          <c:order val="1"/>
          <c:tx>
            <c:strRef>
              <c:f>'Cost Center'!E23</c:f>
              <c:strCache>
                <c:ptCount val="1"/>
                <c:pt idx="0">
                  <c:v>Budget FY27</c:v>
                </c:pt>
              </c:strCache>
            </c:strRef>
          </c:tx>
          <c:spPr>
            <a:solidFill>
              <a:srgbClr val="2e5c8a"/>
            </a:solidFill>
            <a:ln w="0">
              <a:noFill/>
            </a:ln>
          </c:spPr>
          <c:invertIfNegative val="0"/>
          <c:dLbls>
            <c:numFmt formatCode="#,##0;\-#,##0;\–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Center'!$A$24:$A$25</c:f>
              <c:strCache>
                <c:ptCount val="2"/>
                <c:pt idx="0">
                  <c:v>DE2060204</c:v>
                </c:pt>
                <c:pt idx="1">
                  <c:v>DE206210</c:v>
                </c:pt>
              </c:strCache>
            </c:strRef>
          </c:cat>
          <c:val>
            <c:numRef>
              <c:f>'Cost Center'!$E$24:$E$25</c:f>
              <c:numCache>
                <c:formatCode>#,##0;\-#,##0;\–</c:formatCode>
                <c:ptCount val="2"/>
                <c:pt idx="0">
                  <c:v>7576000</c:v>
                </c:pt>
                <c:pt idx="1">
                  <c:v>10804095</c:v>
                </c:pt>
              </c:numCache>
            </c:numRef>
          </c:val>
        </c:ser>
        <c:gapWidth val="60"/>
        <c:overlap val="0"/>
        <c:axId val="62094222"/>
        <c:axId val="73042181"/>
      </c:barChart>
      <c:catAx>
        <c:axId val="620942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42181"/>
        <c:crosses val="autoZero"/>
        <c:auto val="1"/>
        <c:lblAlgn val="ctr"/>
        <c:lblOffset val="100"/>
        <c:noMultiLvlLbl val="0"/>
      </c:catAx>
      <c:valAx>
        <c:axId val="730421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;\-#,##0;\–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942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Veränderung je Cost Center (bereinigt): rot = Anstieg, grün = Reduktion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'Cost Center'!F23</c:f>
              <c:strCache>
                <c:ptCount val="1"/>
                <c:pt idx="0">
                  <c:v>Delta (EUR)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c0392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c0392b"/>
              </a:solidFill>
              <a:ln w="0">
                <a:noFill/>
              </a:ln>
            </c:spPr>
          </c:dPt>
          <c:dLbls>
            <c:numFmt formatCode="#,##0;\-#,##0;\–" sourceLinked="1"/>
            <c:dLbl>
              <c:idx val="0"/>
              <c:numFmt formatCode="#,##0;\-#,##0;\–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#,##0;\-#,##0;\–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Center'!$A$24:$A$25</c:f>
              <c:strCache>
                <c:ptCount val="2"/>
                <c:pt idx="0">
                  <c:v>DE2060204</c:v>
                </c:pt>
                <c:pt idx="1">
                  <c:v>DE206210</c:v>
                </c:pt>
              </c:strCache>
            </c:strRef>
          </c:cat>
          <c:val>
            <c:numRef>
              <c:f>'Cost Center'!$F$24:$F$25</c:f>
              <c:numCache>
                <c:formatCode>#,##0;\-#,##0;\–</c:formatCode>
                <c:ptCount val="2"/>
                <c:pt idx="0">
                  <c:v>1910300</c:v>
                </c:pt>
                <c:pt idx="1">
                  <c:v>305495</c:v>
                </c:pt>
              </c:numCache>
            </c:numRef>
          </c:val>
        </c:ser>
        <c:gapWidth val="60"/>
        <c:overlap val="0"/>
        <c:axId val="95277199"/>
        <c:axId val="60306631"/>
      </c:barChart>
      <c:catAx>
        <c:axId val="9527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06631"/>
        <c:crosses val="autoZero"/>
        <c:auto val="1"/>
        <c:lblAlgn val="ctr"/>
        <c:lblOffset val="100"/>
        <c:noMultiLvlLbl val="0"/>
      </c:catAx>
      <c:valAx>
        <c:axId val="603066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;\-#,##0;\–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771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je Thema FY26 vs. FY27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Themen!B5</c:f>
              <c:strCache>
                <c:ptCount val="1"/>
                <c:pt idx="0">
                  <c:v>Budget FY26</c:v>
                </c:pt>
              </c:strCache>
            </c:strRef>
          </c:tx>
          <c:spPr>
            <a:solidFill>
              <a:srgbClr val="a6b8c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Themen!$A$6:$A$15</c:f>
              <c:strCache>
                <c:ptCount val="10"/>
                <c:pt idx="0">
                  <c:v>Client &amp; Endgeräte (L-EDV)</c:v>
                </c:pt>
                <c:pt idx="1">
                  <c:v>Collaboration- &amp; Produktivitäts-Tools</c:v>
                </c:pt>
                <c:pt idx="2">
                  <c:v>Digital Signage</c:v>
                </c:pt>
                <c:pt idx="3">
                  <c:v>E-Mail &amp; Messaging Security</c:v>
                </c:pt>
                <c:pt idx="4">
                  <c:v>ITSM &amp; ServiceNow</c:v>
                </c:pt>
                <c:pt idx="5">
                  <c:v>KI &amp; Copilot</c:v>
                </c:pt>
                <c:pt idx="6">
                  <c:v>Microsoft M365 Lizenzen</c:v>
                </c:pt>
                <c:pt idx="7">
                  <c:v>Output Management &amp; Druck</c:v>
                </c:pt>
                <c:pt idx="8">
                  <c:v>Service Desk &amp; User Support</c:v>
                </c:pt>
                <c:pt idx="9">
                  <c:v>Unified Communications &amp; Telefonie</c:v>
                </c:pt>
              </c:strCache>
            </c:strRef>
          </c:cat>
          <c:val>
            <c:numRef>
              <c:f>Themen!$B$6:$B$15</c:f>
              <c:numCache>
                <c:formatCode>#,##0;\-#,##0;\–</c:formatCode>
                <c:ptCount val="10"/>
                <c:pt idx="0">
                  <c:v>3953000</c:v>
                </c:pt>
                <c:pt idx="1">
                  <c:v>277100</c:v>
                </c:pt>
                <c:pt idx="2">
                  <c:v>8000</c:v>
                </c:pt>
                <c:pt idx="3">
                  <c:v>64000</c:v>
                </c:pt>
                <c:pt idx="4">
                  <c:v>1055000</c:v>
                </c:pt>
                <c:pt idx="5">
                  <c:v>465000</c:v>
                </c:pt>
                <c:pt idx="6">
                  <c:v>7925500</c:v>
                </c:pt>
                <c:pt idx="7">
                  <c:v>131000</c:v>
                </c:pt>
                <c:pt idx="8">
                  <c:v>466200</c:v>
                </c:pt>
                <c:pt idx="9">
                  <c:v>1819500</c:v>
                </c:pt>
              </c:numCache>
            </c:numRef>
          </c:val>
        </c:ser>
        <c:ser>
          <c:idx val="1"/>
          <c:order val="1"/>
          <c:tx>
            <c:strRef>
              <c:f>Themen!C5</c:f>
              <c:strCache>
                <c:ptCount val="1"/>
                <c:pt idx="0">
                  <c:v>Budget FY27</c:v>
                </c:pt>
              </c:strCache>
            </c:strRef>
          </c:tx>
          <c:spPr>
            <a:solidFill>
              <a:srgbClr val="2e5c8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Themen!$A$6:$A$15</c:f>
              <c:strCache>
                <c:ptCount val="10"/>
                <c:pt idx="0">
                  <c:v>Client &amp; Endgeräte (L-EDV)</c:v>
                </c:pt>
                <c:pt idx="1">
                  <c:v>Collaboration- &amp; Produktivitäts-Tools</c:v>
                </c:pt>
                <c:pt idx="2">
                  <c:v>Digital Signage</c:v>
                </c:pt>
                <c:pt idx="3">
                  <c:v>E-Mail &amp; Messaging Security</c:v>
                </c:pt>
                <c:pt idx="4">
                  <c:v>ITSM &amp; ServiceNow</c:v>
                </c:pt>
                <c:pt idx="5">
                  <c:v>KI &amp; Copilot</c:v>
                </c:pt>
                <c:pt idx="6">
                  <c:v>Microsoft M365 Lizenzen</c:v>
                </c:pt>
                <c:pt idx="7">
                  <c:v>Output Management &amp; Druck</c:v>
                </c:pt>
                <c:pt idx="8">
                  <c:v>Service Desk &amp; User Support</c:v>
                </c:pt>
                <c:pt idx="9">
                  <c:v>Unified Communications &amp; Telefonie</c:v>
                </c:pt>
              </c:strCache>
            </c:strRef>
          </c:cat>
          <c:val>
            <c:numRef>
              <c:f>Themen!$C$6:$C$15</c:f>
              <c:numCache>
                <c:formatCode>#,##0;\-#,##0;\–</c:formatCode>
                <c:ptCount val="10"/>
                <c:pt idx="0">
                  <c:v>4105500</c:v>
                </c:pt>
                <c:pt idx="1">
                  <c:v>347300</c:v>
                </c:pt>
                <c:pt idx="2">
                  <c:v>8000</c:v>
                </c:pt>
                <c:pt idx="3">
                  <c:v>62000</c:v>
                </c:pt>
                <c:pt idx="4">
                  <c:v>2810000</c:v>
                </c:pt>
                <c:pt idx="5">
                  <c:v>240000</c:v>
                </c:pt>
                <c:pt idx="6">
                  <c:v>7800000</c:v>
                </c:pt>
                <c:pt idx="7">
                  <c:v>154600</c:v>
                </c:pt>
                <c:pt idx="8">
                  <c:v>458400</c:v>
                </c:pt>
                <c:pt idx="9">
                  <c:v>2394295</c:v>
                </c:pt>
              </c:numCache>
            </c:numRef>
          </c:val>
        </c:ser>
        <c:gapWidth val="60"/>
        <c:overlap val="0"/>
        <c:axId val="72150129"/>
        <c:axId val="24750326"/>
      </c:barChart>
      <c:catAx>
        <c:axId val="721501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50326"/>
        <c:crosses val="autoZero"/>
        <c:auto val="1"/>
        <c:lblAlgn val="ctr"/>
        <c:lblOffset val="100"/>
        <c:noMultiLvlLbl val="0"/>
      </c:catAx>
      <c:valAx>
        <c:axId val="2475032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;\-#,##0;\–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501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Veränderung je Thema (rot = Anstieg, grün = Reduktion)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Themen!D5</c:f>
              <c:strCache>
                <c:ptCount val="1"/>
                <c:pt idx="0">
                  <c:v>Delta (EUR)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c0392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c0392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c0392b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1e8449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c0392b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1e8449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1e8449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c0392b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1e8449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c0392b"/>
              </a:solidFill>
              <a:ln w="0">
                <a:noFill/>
              </a:ln>
            </c:spPr>
          </c:dPt>
          <c:dLbls>
            <c:numFmt formatCode="#,##0;\-#,##0;\–" sourceLinked="1"/>
            <c:dLbl>
              <c:idx val="0"/>
              <c:numFmt formatCode="#,##0;\-#,##0;\–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#,##0;\-#,##0;\–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#,##0;\-#,##0;\–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#,##0;\-#,##0;\–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#,##0;\-#,##0;\–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#,##0;\-#,##0;\–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#,##0;\-#,##0;\–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#,##0;\-#,##0;\–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#,##0;\-#,##0;\–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#,##0;\-#,##0;\–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Themen!$A$6:$A$15</c:f>
              <c:strCache>
                <c:ptCount val="10"/>
                <c:pt idx="0">
                  <c:v>Client &amp; Endgeräte (L-EDV)</c:v>
                </c:pt>
                <c:pt idx="1">
                  <c:v>Collaboration- &amp; Produktivitäts-Tools</c:v>
                </c:pt>
                <c:pt idx="2">
                  <c:v>Digital Signage</c:v>
                </c:pt>
                <c:pt idx="3">
                  <c:v>E-Mail &amp; Messaging Security</c:v>
                </c:pt>
                <c:pt idx="4">
                  <c:v>ITSM &amp; ServiceNow</c:v>
                </c:pt>
                <c:pt idx="5">
                  <c:v>KI &amp; Copilot</c:v>
                </c:pt>
                <c:pt idx="6">
                  <c:v>Microsoft M365 Lizenzen</c:v>
                </c:pt>
                <c:pt idx="7">
                  <c:v>Output Management &amp; Druck</c:v>
                </c:pt>
                <c:pt idx="8">
                  <c:v>Service Desk &amp; User Support</c:v>
                </c:pt>
                <c:pt idx="9">
                  <c:v>Unified Communications &amp; Telefonie</c:v>
                </c:pt>
              </c:strCache>
            </c:strRef>
          </c:cat>
          <c:val>
            <c:numRef>
              <c:f>Themen!$D$6:$D$15</c:f>
              <c:numCache>
                <c:formatCode>#,##0;\-#,##0;\–</c:formatCode>
                <c:ptCount val="10"/>
                <c:pt idx="0">
                  <c:v>152500</c:v>
                </c:pt>
                <c:pt idx="1">
                  <c:v>70200</c:v>
                </c:pt>
                <c:pt idx="2">
                  <c:v>0</c:v>
                </c:pt>
                <c:pt idx="3">
                  <c:v>-2000</c:v>
                </c:pt>
                <c:pt idx="4">
                  <c:v>1755000</c:v>
                </c:pt>
                <c:pt idx="5">
                  <c:v>-225000</c:v>
                </c:pt>
                <c:pt idx="6">
                  <c:v>-125500</c:v>
                </c:pt>
                <c:pt idx="7">
                  <c:v>23600</c:v>
                </c:pt>
                <c:pt idx="8">
                  <c:v>-7800</c:v>
                </c:pt>
                <c:pt idx="9">
                  <c:v>574795</c:v>
                </c:pt>
              </c:numCache>
            </c:numRef>
          </c:val>
        </c:ser>
        <c:gapWidth val="60"/>
        <c:overlap val="0"/>
        <c:axId val="46160865"/>
        <c:axId val="72136738"/>
      </c:barChart>
      <c:catAx>
        <c:axId val="461608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36738"/>
        <c:crosses val="autoZero"/>
        <c:auto val="1"/>
        <c:lblAlgn val="ctr"/>
        <c:lblOffset val="100"/>
        <c:noMultiLvlLbl val="0"/>
      </c:catAx>
      <c:valAx>
        <c:axId val="7213673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;\-#,##0;\–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608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Budgetstruktur FY27 nach Themen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Themen!C5</c:f>
              <c:strCache>
                <c:ptCount val="1"/>
                <c:pt idx="0">
                  <c:v>Budget FY27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Themen!$A$6:$A$15</c:f>
              <c:strCache>
                <c:ptCount val="10"/>
                <c:pt idx="0">
                  <c:v>Client &amp; Endgeräte (L-EDV)</c:v>
                </c:pt>
                <c:pt idx="1">
                  <c:v>Collaboration- &amp; Produktivitäts-Tools</c:v>
                </c:pt>
                <c:pt idx="2">
                  <c:v>Digital Signage</c:v>
                </c:pt>
                <c:pt idx="3">
                  <c:v>E-Mail &amp; Messaging Security</c:v>
                </c:pt>
                <c:pt idx="4">
                  <c:v>ITSM &amp; ServiceNow</c:v>
                </c:pt>
                <c:pt idx="5">
                  <c:v>KI &amp; Copilot</c:v>
                </c:pt>
                <c:pt idx="6">
                  <c:v>Microsoft M365 Lizenzen</c:v>
                </c:pt>
                <c:pt idx="7">
                  <c:v>Output Management &amp; Druck</c:v>
                </c:pt>
                <c:pt idx="8">
                  <c:v>Service Desk &amp; User Support</c:v>
                </c:pt>
                <c:pt idx="9">
                  <c:v>Unified Communications &amp; Telefonie</c:v>
                </c:pt>
              </c:strCache>
            </c:strRef>
          </c:cat>
          <c:val>
            <c:numRef>
              <c:f>Themen!$C$6:$C$15</c:f>
              <c:numCache>
                <c:formatCode>#,##0;\-#,##0;\–</c:formatCode>
                <c:ptCount val="10"/>
                <c:pt idx="0">
                  <c:v>4105500</c:v>
                </c:pt>
                <c:pt idx="1">
                  <c:v>347300</c:v>
                </c:pt>
                <c:pt idx="2">
                  <c:v>8000</c:v>
                </c:pt>
                <c:pt idx="3">
                  <c:v>62000</c:v>
                </c:pt>
                <c:pt idx="4">
                  <c:v>2810000</c:v>
                </c:pt>
                <c:pt idx="5">
                  <c:v>240000</c:v>
                </c:pt>
                <c:pt idx="6">
                  <c:v>7800000</c:v>
                </c:pt>
                <c:pt idx="7">
                  <c:v>154600</c:v>
                </c:pt>
                <c:pt idx="8">
                  <c:v>458400</c:v>
                </c:pt>
                <c:pt idx="9">
                  <c:v>2394295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FY27 je Thema, gestapelt nach Cost Center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Themen!B20</c:f>
              <c:strCache>
                <c:ptCount val="1"/>
                <c:pt idx="0">
                  <c:v>DE2060204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Themen!$A$21:$A$30</c:f>
              <c:strCache>
                <c:ptCount val="10"/>
                <c:pt idx="0">
                  <c:v>Client &amp; Endgeräte (L-EDV)</c:v>
                </c:pt>
                <c:pt idx="1">
                  <c:v>Collaboration- &amp; Produktivitäts-Tools</c:v>
                </c:pt>
                <c:pt idx="2">
                  <c:v>Digital Signage</c:v>
                </c:pt>
                <c:pt idx="3">
                  <c:v>E-Mail &amp; Messaging Security</c:v>
                </c:pt>
                <c:pt idx="4">
                  <c:v>ITSM &amp; ServiceNow</c:v>
                </c:pt>
                <c:pt idx="5">
                  <c:v>KI &amp; Copilot</c:v>
                </c:pt>
                <c:pt idx="6">
                  <c:v>Microsoft M365 Lizenzen</c:v>
                </c:pt>
                <c:pt idx="7">
                  <c:v>Output Management &amp; Druck</c:v>
                </c:pt>
                <c:pt idx="8">
                  <c:v>Service Desk &amp; User Support</c:v>
                </c:pt>
                <c:pt idx="9">
                  <c:v>Unified Communications &amp; Telefonie</c:v>
                </c:pt>
              </c:strCache>
            </c:strRef>
          </c:cat>
          <c:val>
            <c:numRef>
              <c:f>Themen!$B$21:$B$30</c:f>
              <c:numCache>
                <c:formatCode>#,##0;\-#,##0;\–</c:formatCode>
                <c:ptCount val="10"/>
                <c:pt idx="0">
                  <c:v>4083000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2810000</c:v>
                </c:pt>
                <c:pt idx="5">
                  <c:v>0</c:v>
                </c:pt>
                <c:pt idx="6">
                  <c:v>0</c:v>
                </c:pt>
                <c:pt idx="7">
                  <c:v>154600</c:v>
                </c:pt>
                <c:pt idx="8">
                  <c:v>458400</c:v>
                </c:pt>
                <c:pt idx="9">
                  <c:v>70000</c:v>
                </c:pt>
              </c:numCache>
            </c:numRef>
          </c:val>
        </c:ser>
        <c:ser>
          <c:idx val="1"/>
          <c:order val="1"/>
          <c:tx>
            <c:strRef>
              <c:f>Themen!C20</c:f>
              <c:strCache>
                <c:ptCount val="1"/>
                <c:pt idx="0">
                  <c:v>DE206210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Themen!$A$21:$A$30</c:f>
              <c:strCache>
                <c:ptCount val="10"/>
                <c:pt idx="0">
                  <c:v>Client &amp; Endgeräte (L-EDV)</c:v>
                </c:pt>
                <c:pt idx="1">
                  <c:v>Collaboration- &amp; Produktivitäts-Tools</c:v>
                </c:pt>
                <c:pt idx="2">
                  <c:v>Digital Signage</c:v>
                </c:pt>
                <c:pt idx="3">
                  <c:v>E-Mail &amp; Messaging Security</c:v>
                </c:pt>
                <c:pt idx="4">
                  <c:v>ITSM &amp; ServiceNow</c:v>
                </c:pt>
                <c:pt idx="5">
                  <c:v>KI &amp; Copilot</c:v>
                </c:pt>
                <c:pt idx="6">
                  <c:v>Microsoft M365 Lizenzen</c:v>
                </c:pt>
                <c:pt idx="7">
                  <c:v>Output Management &amp; Druck</c:v>
                </c:pt>
                <c:pt idx="8">
                  <c:v>Service Desk &amp; User Support</c:v>
                </c:pt>
                <c:pt idx="9">
                  <c:v>Unified Communications &amp; Telefonie</c:v>
                </c:pt>
              </c:strCache>
            </c:strRef>
          </c:cat>
          <c:val>
            <c:numRef>
              <c:f>Themen!$C$21:$C$30</c:f>
              <c:numCache>
                <c:formatCode>#,##0;\-#,##0;\–</c:formatCode>
                <c:ptCount val="10"/>
                <c:pt idx="0">
                  <c:v>22500</c:v>
                </c:pt>
                <c:pt idx="1">
                  <c:v>347300</c:v>
                </c:pt>
                <c:pt idx="2">
                  <c:v>8000</c:v>
                </c:pt>
                <c:pt idx="3">
                  <c:v>62000</c:v>
                </c:pt>
                <c:pt idx="4">
                  <c:v>0</c:v>
                </c:pt>
                <c:pt idx="5">
                  <c:v>240000</c:v>
                </c:pt>
                <c:pt idx="6">
                  <c:v>7800000</c:v>
                </c:pt>
                <c:pt idx="7">
                  <c:v>0</c:v>
                </c:pt>
                <c:pt idx="8">
                  <c:v>0</c:v>
                </c:pt>
                <c:pt idx="9">
                  <c:v>2324295</c:v>
                </c:pt>
              </c:numCache>
            </c:numRef>
          </c:val>
        </c:ser>
        <c:gapWidth val="60"/>
        <c:overlap val="100"/>
        <c:axId val="68571037"/>
        <c:axId val="25960564"/>
      </c:barChart>
      <c:catAx>
        <c:axId val="685710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60564"/>
        <c:crosses val="autoZero"/>
        <c:auto val="1"/>
        <c:lblAlgn val="ctr"/>
        <c:lblOffset val="100"/>
        <c:noMultiLvlLbl val="0"/>
      </c:catAx>
      <c:valAx>
        <c:axId val="259605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;\-#,##0;\–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710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2</xdr:col>
      <xdr:colOff>432360</xdr:colOff>
      <xdr:row>30</xdr:row>
      <xdr:rowOff>181080</xdr:rowOff>
    </xdr:to>
    <xdr:graphicFrame>
      <xdr:nvGraphicFramePr>
        <xdr:cNvPr id="0" name="Chart 1"/>
        <xdr:cNvGraphicFramePr/>
      </xdr:nvGraphicFramePr>
      <xdr:xfrm>
        <a:off x="0" y="291456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14</xdr:col>
      <xdr:colOff>521280</xdr:colOff>
      <xdr:row>30</xdr:row>
      <xdr:rowOff>181080</xdr:rowOff>
    </xdr:to>
    <xdr:graphicFrame>
      <xdr:nvGraphicFramePr>
        <xdr:cNvPr id="1" name="Chart 2"/>
        <xdr:cNvGraphicFramePr/>
      </xdr:nvGraphicFramePr>
      <xdr:xfrm>
        <a:off x="14935320" y="291456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2</xdr:col>
      <xdr:colOff>432360</xdr:colOff>
      <xdr:row>51</xdr:row>
      <xdr:rowOff>181080</xdr:rowOff>
    </xdr:to>
    <xdr:graphicFrame>
      <xdr:nvGraphicFramePr>
        <xdr:cNvPr id="2" name="Chart 3"/>
        <xdr:cNvGraphicFramePr/>
      </xdr:nvGraphicFramePr>
      <xdr:xfrm>
        <a:off x="0" y="691524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34</xdr:row>
      <xdr:rowOff>0</xdr:rowOff>
    </xdr:from>
    <xdr:to>
      <xdr:col>14</xdr:col>
      <xdr:colOff>521280</xdr:colOff>
      <xdr:row>51</xdr:row>
      <xdr:rowOff>181080</xdr:rowOff>
    </xdr:to>
    <xdr:graphicFrame>
      <xdr:nvGraphicFramePr>
        <xdr:cNvPr id="3" name="Chart 4"/>
        <xdr:cNvGraphicFramePr/>
      </xdr:nvGraphicFramePr>
      <xdr:xfrm>
        <a:off x="14935320" y="691524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17</xdr:col>
      <xdr:colOff>228960</xdr:colOff>
      <xdr:row>17</xdr:row>
      <xdr:rowOff>11520</xdr:rowOff>
    </xdr:to>
    <xdr:graphicFrame>
      <xdr:nvGraphicFramePr>
        <xdr:cNvPr id="4" name="Chart 1"/>
        <xdr:cNvGraphicFramePr/>
      </xdr:nvGraphicFramePr>
      <xdr:xfrm>
        <a:off x="16138440" y="685800"/>
        <a:ext cx="62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17</xdr:col>
      <xdr:colOff>228960</xdr:colOff>
      <xdr:row>36</xdr:row>
      <xdr:rowOff>11520</xdr:rowOff>
    </xdr:to>
    <xdr:graphicFrame>
      <xdr:nvGraphicFramePr>
        <xdr:cNvPr id="5" name="Chart 2"/>
        <xdr:cNvGraphicFramePr/>
      </xdr:nvGraphicFramePr>
      <xdr:xfrm>
        <a:off x="16138440" y="4495680"/>
        <a:ext cx="62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39</xdr:row>
      <xdr:rowOff>0</xdr:rowOff>
    </xdr:from>
    <xdr:to>
      <xdr:col>17</xdr:col>
      <xdr:colOff>228960</xdr:colOff>
      <xdr:row>55</xdr:row>
      <xdr:rowOff>11880</xdr:rowOff>
    </xdr:to>
    <xdr:graphicFrame>
      <xdr:nvGraphicFramePr>
        <xdr:cNvPr id="6" name="Chart 3"/>
        <xdr:cNvGraphicFramePr/>
      </xdr:nvGraphicFramePr>
      <xdr:xfrm>
        <a:off x="16138440" y="8115480"/>
        <a:ext cx="62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19</xdr:col>
      <xdr:colOff>10080</xdr:colOff>
      <xdr:row>21</xdr:row>
      <xdr:rowOff>149760</xdr:rowOff>
    </xdr:to>
    <xdr:graphicFrame>
      <xdr:nvGraphicFramePr>
        <xdr:cNvPr id="7" name="Chart 1"/>
        <xdr:cNvGraphicFramePr/>
      </xdr:nvGraphicFramePr>
      <xdr:xfrm>
        <a:off x="13204800" y="685800"/>
        <a:ext cx="68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26</xdr:row>
      <xdr:rowOff>0</xdr:rowOff>
    </xdr:from>
    <xdr:to>
      <xdr:col>19</xdr:col>
      <xdr:colOff>10080</xdr:colOff>
      <xdr:row>45</xdr:row>
      <xdr:rowOff>149400</xdr:rowOff>
    </xdr:to>
    <xdr:graphicFrame>
      <xdr:nvGraphicFramePr>
        <xdr:cNvPr id="8" name="Chart 2"/>
        <xdr:cNvGraphicFramePr/>
      </xdr:nvGraphicFramePr>
      <xdr:xfrm>
        <a:off x="13204800" y="5448240"/>
        <a:ext cx="68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49</xdr:row>
      <xdr:rowOff>0</xdr:rowOff>
    </xdr:from>
    <xdr:to>
      <xdr:col>19</xdr:col>
      <xdr:colOff>10080</xdr:colOff>
      <xdr:row>69</xdr:row>
      <xdr:rowOff>149400</xdr:rowOff>
    </xdr:to>
    <xdr:graphicFrame>
      <xdr:nvGraphicFramePr>
        <xdr:cNvPr id="9" name="Chart 3"/>
        <xdr:cNvGraphicFramePr/>
      </xdr:nvGraphicFramePr>
      <xdr:xfrm>
        <a:off x="13204800" y="10020240"/>
        <a:ext cx="68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72</xdr:row>
      <xdr:rowOff>0</xdr:rowOff>
    </xdr:from>
    <xdr:to>
      <xdr:col>19</xdr:col>
      <xdr:colOff>10080</xdr:colOff>
      <xdr:row>92</xdr:row>
      <xdr:rowOff>149760</xdr:rowOff>
    </xdr:to>
    <xdr:graphicFrame>
      <xdr:nvGraphicFramePr>
        <xdr:cNvPr id="10" name="Chart 4"/>
        <xdr:cNvGraphicFramePr/>
      </xdr:nvGraphicFramePr>
      <xdr:xfrm>
        <a:off x="13204800" y="14401800"/>
        <a:ext cx="68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9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6" min="4" style="0" width="14"/>
    <col collapsed="false" customWidth="true" hidden="false" outlineLevel="0" max="8" min="7" style="0" width="13"/>
    <col collapsed="false" customWidth="true" hidden="false" outlineLevel="0" max="9" min="9" style="0" width="4"/>
    <col collapsed="false" customWidth="true" hidden="false" outlineLevel="0" max="14" min="10" style="0" width="13"/>
    <col collapsed="false" customWidth="true" hidden="false" outlineLevel="0" max="22" min="15" style="0" width="9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15" hidden="false" customHeight="false" outlineLevel="0" collapsed="false">
      <c r="A4" s="5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customFormat="false" ht="15" hidden="false" customHeight="false" outlineLevel="0" collapsed="false">
      <c r="A5" s="6" t="s">
        <v>4</v>
      </c>
      <c r="B5" s="2"/>
      <c r="C5" s="7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customFormat="false" ht="15" hidden="false" customHeight="false" outlineLevel="0" collapsed="false">
      <c r="A7" s="6" t="s">
        <v>6</v>
      </c>
      <c r="B7" s="2"/>
      <c r="C7" s="7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customFormat="false" ht="15" hidden="false" customHeight="false" outlineLevel="0" collapsed="false">
      <c r="A8" s="2"/>
      <c r="B8" s="2"/>
      <c r="C8" s="4" t="s">
        <v>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customFormat="false" ht="30" hidden="false" customHeight="true" outlineLevel="0" collapsed="false">
      <c r="A10" s="5" t="s">
        <v>8</v>
      </c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  <c r="G10" s="8" t="s">
        <v>14</v>
      </c>
      <c r="H10" s="8" t="s">
        <v>15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customFormat="false" ht="25.5" hidden="false" customHeight="true" outlineLevel="0" collapsed="false">
      <c r="A11" s="2"/>
      <c r="B11" s="9" t="n">
        <f aca="false">SUMIFS(Positionen!$K$3:$K$74,Positionen!$A$3:$A$74,Berechnung!$O$4,Positionen!$E$3:$E$74,Berechnung!$O$5)</f>
        <v>16164300</v>
      </c>
      <c r="C11" s="9" t="n">
        <f aca="false">SUMIFS(Positionen!$L$3:$L$74,Positionen!$A$3:$A$74,Berechnung!$O$4,Positionen!$E$3:$E$74,Berechnung!$O$5)</f>
        <v>18380095</v>
      </c>
      <c r="D11" s="9" t="n">
        <f aca="false">C11-B11</f>
        <v>2215795</v>
      </c>
      <c r="E11" s="10" t="n">
        <f aca="false">IF(B11=0,"",D11/B11)</f>
        <v>0.137079551851921</v>
      </c>
      <c r="F11" s="11" t="n">
        <f aca="false">COUNTIFS(Positionen!$A$3:$A$74,Berechnung!$O$4,Positionen!$E$3:$E$74,Berechnung!$O$5)</f>
        <v>72</v>
      </c>
      <c r="G11" s="11" t="n">
        <f aca="false">COUNTIFS(Positionen!$A$3:$A$74,Berechnung!$O$4,Positionen!$E$3:$E$74,Berechnung!$O$5,Positionen!$O$3:$O$74,"neu")</f>
        <v>13</v>
      </c>
      <c r="H11" s="11" t="n">
        <f aca="false">COUNTIFS(Positionen!$A$3:$A$74,Berechnung!$O$4,Positionen!$E$3:$E$74,Berechnung!$O$5,Positionen!$O$3:$O$74,"entfallen")</f>
        <v>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customFormat="false" ht="15" hidden="false" customHeight="false" outlineLevel="0" collapsed="false">
      <c r="A56" s="5" t="s">
        <v>16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customFormat="false" ht="30" hidden="false" customHeight="true" outlineLevel="0" collapsed="false">
      <c r="A57" s="8" t="s">
        <v>17</v>
      </c>
      <c r="B57" s="8" t="s">
        <v>18</v>
      </c>
      <c r="C57" s="8" t="s">
        <v>19</v>
      </c>
      <c r="D57" s="8" t="s">
        <v>20</v>
      </c>
      <c r="E57" s="8" t="s">
        <v>21</v>
      </c>
      <c r="F57" s="8" t="s">
        <v>11</v>
      </c>
      <c r="G57" s="8" t="s">
        <v>22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customFormat="false" ht="15" hidden="false" customHeight="false" outlineLevel="0" collapsed="false">
      <c r="A58" s="12" t="str">
        <f aca="false">IF(Berechnung!A119="","",Berechnung!A119)</f>
        <v>ServiceNow SEPM Projekt Gestehung 2027 (D-020932)</v>
      </c>
      <c r="B58" s="13" t="str">
        <f aca="false">IF(Berechnung!E119="","",Berechnung!E119)</f>
        <v>DE2060204</v>
      </c>
      <c r="C58" s="12" t="str">
        <f aca="false">IF(Berechnung!F119="","",Berechnung!F119)</f>
        <v>ITSM &amp; ServiceNow</v>
      </c>
      <c r="D58" s="14" t="n">
        <f aca="false">IF(Berechnung!C119="","",Berechnung!C119)</f>
        <v>0</v>
      </c>
      <c r="E58" s="14" t="n">
        <f aca="false">IF(Berechnung!D119="","",Berechnung!D119)</f>
        <v>800000</v>
      </c>
      <c r="F58" s="14" t="n">
        <f aca="false">IF(Berechnung!B119="","",Berechnung!B119)</f>
        <v>800000</v>
      </c>
      <c r="G58" s="13" t="str">
        <f aca="false">IF(Berechnung!G119="","",Berechnung!G119)</f>
        <v>neu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customFormat="false" ht="15" hidden="false" customHeight="false" outlineLevel="0" collapsed="false">
      <c r="A59" s="15" t="str">
        <f aca="false">IF(Berechnung!A120="","",Berechnung!A120)</f>
        <v>Unified Communication Managed Service</v>
      </c>
      <c r="B59" s="16" t="str">
        <f aca="false">IF(Berechnung!E120="","",Berechnung!E120)</f>
        <v>DE206210</v>
      </c>
      <c r="C59" s="15" t="str">
        <f aca="false">IF(Berechnung!F120="","",Berechnung!F120)</f>
        <v>Unified Communications &amp; Telefonie</v>
      </c>
      <c r="D59" s="17" t="n">
        <f aca="false">IF(Berechnung!C120="","",Berechnung!C120)</f>
        <v>0</v>
      </c>
      <c r="E59" s="17" t="n">
        <f aca="false">IF(Berechnung!D120="","",Berechnung!D120)</f>
        <v>490000</v>
      </c>
      <c r="F59" s="17" t="n">
        <f aca="false">IF(Berechnung!B120="","",Berechnung!B120)</f>
        <v>490000</v>
      </c>
      <c r="G59" s="16" t="str">
        <f aca="false">IF(Berechnung!G120="","",Berechnung!G120)</f>
        <v>neu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customFormat="false" ht="15" hidden="false" customHeight="false" outlineLevel="0" collapsed="false">
      <c r="A60" s="12" t="str">
        <f aca="false">IF(Berechnung!A121="","",Berechnung!A121)</f>
        <v>ServiceNow Modul IT Operation Monitoring ITOM (D-020936)</v>
      </c>
      <c r="B60" s="13" t="str">
        <f aca="false">IF(Berechnung!E121="","",Berechnung!E121)</f>
        <v>DE2060204</v>
      </c>
      <c r="C60" s="12" t="str">
        <f aca="false">IF(Berechnung!F121="","",Berechnung!F121)</f>
        <v>ITSM &amp; ServiceNow</v>
      </c>
      <c r="D60" s="14" t="n">
        <f aca="false">IF(Berechnung!C121="","",Berechnung!C121)</f>
        <v>0</v>
      </c>
      <c r="E60" s="14" t="n">
        <f aca="false">IF(Berechnung!D121="","",Berechnung!D121)</f>
        <v>400000</v>
      </c>
      <c r="F60" s="14" t="n">
        <f aca="false">IF(Berechnung!B121="","",Berechnung!B121)</f>
        <v>400000</v>
      </c>
      <c r="G60" s="13" t="str">
        <f aca="false">IF(Berechnung!G121="","",Berechnung!G121)</f>
        <v>neu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customFormat="false" ht="15" hidden="false" customHeight="false" outlineLevel="0" collapsed="false">
      <c r="A61" s="15" t="str">
        <f aca="false">IF(Berechnung!A122="","",Berechnung!A122)</f>
        <v>ServiceNow Enterpise Contract</v>
      </c>
      <c r="B61" s="16" t="str">
        <f aca="false">IF(Berechnung!E122="","",Berechnung!E122)</f>
        <v>DE2060204</v>
      </c>
      <c r="C61" s="15" t="str">
        <f aca="false">IF(Berechnung!F122="","",Berechnung!F122)</f>
        <v>ITSM &amp; ServiceNow</v>
      </c>
      <c r="D61" s="17" t="n">
        <f aca="false">IF(Berechnung!C122="","",Berechnung!C122)</f>
        <v>725000</v>
      </c>
      <c r="E61" s="17" t="n">
        <f aca="false">IF(Berechnung!D122="","",Berechnung!D122)</f>
        <v>1100000</v>
      </c>
      <c r="F61" s="17" t="n">
        <f aca="false">IF(Berechnung!B122="","",Berechnung!B122)</f>
        <v>375000</v>
      </c>
      <c r="G61" s="16" t="str">
        <f aca="false">IF(Berechnung!G122="","",Berechnung!G122)</f>
        <v>erhöht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customFormat="false" ht="15" hidden="false" customHeight="false" outlineLevel="0" collapsed="false">
      <c r="A62" s="12" t="str">
        <f aca="false">IF(Berechnung!A123="","",Berechnung!A123)</f>
        <v>M365 Copilot und Copilot Studio</v>
      </c>
      <c r="B62" s="13" t="str">
        <f aca="false">IF(Berechnung!E123="","",Berechnung!E123)</f>
        <v>DE206210</v>
      </c>
      <c r="C62" s="12" t="str">
        <f aca="false">IF(Berechnung!F123="","",Berechnung!F123)</f>
        <v>KI &amp; Copilot</v>
      </c>
      <c r="D62" s="14" t="n">
        <f aca="false">IF(Berechnung!C123="","",Berechnung!C123)</f>
        <v>450000</v>
      </c>
      <c r="E62" s="14" t="n">
        <f aca="false">IF(Berechnung!D123="","",Berechnung!D123)</f>
        <v>225000</v>
      </c>
      <c r="F62" s="14" t="n">
        <f aca="false">IF(Berechnung!B123="","",Berechnung!B123)</f>
        <v>-225000</v>
      </c>
      <c r="G62" s="13" t="str">
        <f aca="false">IF(Berechnung!G123="","",Berechnung!G123)</f>
        <v>reduziert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customFormat="false" ht="15" hidden="false" customHeight="false" outlineLevel="0" collapsed="false">
      <c r="A63" s="15" t="str">
        <f aca="false">IF(Berechnung!A124="","",Berechnung!A124)</f>
        <v>ServiceNow Plattform Maintenance</v>
      </c>
      <c r="B63" s="16" t="str">
        <f aca="false">IF(Berechnung!E124="","",Berechnung!E124)</f>
        <v>DE2060204</v>
      </c>
      <c r="C63" s="15" t="str">
        <f aca="false">IF(Berechnung!F124="","",Berechnung!F124)</f>
        <v>ITSM &amp; ServiceNow</v>
      </c>
      <c r="D63" s="17" t="n">
        <f aca="false">IF(Berechnung!C124="","",Berechnung!C124)</f>
        <v>0</v>
      </c>
      <c r="E63" s="17" t="n">
        <f aca="false">IF(Berechnung!D124="","",Berechnung!D124)</f>
        <v>140000</v>
      </c>
      <c r="F63" s="17" t="n">
        <f aca="false">IF(Berechnung!B124="","",Berechnung!B124)</f>
        <v>140000</v>
      </c>
      <c r="G63" s="16" t="str">
        <f aca="false">IF(Berechnung!G124="","",Berechnung!G124)</f>
        <v>neu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customFormat="false" ht="15" hidden="false" customHeight="false" outlineLevel="0" collapsed="false">
      <c r="A64" s="12" t="str">
        <f aca="false">IF(Berechnung!A125="","",Berechnung!A125)</f>
        <v>ServiceNow Plattform Managed Service Operation</v>
      </c>
      <c r="B64" s="13" t="str">
        <f aca="false">IF(Berechnung!E125="","",Berechnung!E125)</f>
        <v>DE2060204</v>
      </c>
      <c r="C64" s="12" t="str">
        <f aca="false">IF(Berechnung!F125="","",Berechnung!F125)</f>
        <v>ITSM &amp; ServiceNow</v>
      </c>
      <c r="D64" s="14" t="n">
        <f aca="false">IF(Berechnung!C125="","",Berechnung!C125)</f>
        <v>0</v>
      </c>
      <c r="E64" s="14" t="n">
        <f aca="false">IF(Berechnung!D125="","",Berechnung!D125)</f>
        <v>120000</v>
      </c>
      <c r="F64" s="14" t="n">
        <f aca="false">IF(Berechnung!B125="","",Berechnung!B125)</f>
        <v>120000</v>
      </c>
      <c r="G64" s="13" t="str">
        <f aca="false">IF(Berechnung!G125="","",Berechnung!G125)</f>
        <v>neu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customFormat="false" ht="15" hidden="false" customHeight="false" outlineLevel="0" collapsed="false">
      <c r="A65" s="15" t="str">
        <f aca="false">IF(Berechnung!A126="","",Berechnung!A126)</f>
        <v>L-EDV Client</v>
      </c>
      <c r="B65" s="16" t="str">
        <f aca="false">IF(Berechnung!E126="","",Berechnung!E126)</f>
        <v>DE2060204</v>
      </c>
      <c r="C65" s="15" t="str">
        <f aca="false">IF(Berechnung!F126="","",Berechnung!F126)</f>
        <v>Client &amp; Endgeräte (L-EDV)</v>
      </c>
      <c r="D65" s="17" t="n">
        <f aca="false">IF(Berechnung!C126="","",Berechnung!C126)</f>
        <v>2900000</v>
      </c>
      <c r="E65" s="17" t="n">
        <f aca="false">IF(Berechnung!D126="","",Berechnung!D126)</f>
        <v>3000000</v>
      </c>
      <c r="F65" s="17" t="n">
        <f aca="false">IF(Berechnung!B126="","",Berechnung!B126)</f>
        <v>100000</v>
      </c>
      <c r="G65" s="16" t="str">
        <f aca="false">IF(Berechnung!G126="","",Berechnung!G126)</f>
        <v>erhöht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customFormat="false" ht="15" hidden="false" customHeight="false" outlineLevel="0" collapsed="false">
      <c r="A66" s="12" t="str">
        <f aca="false">IF(Berechnung!A127="","",Berechnung!A127)</f>
        <v>ServiceNow SPM - Strategic Portfolio Management (D-020932)</v>
      </c>
      <c r="B66" s="13" t="str">
        <f aca="false">IF(Berechnung!E127="","",Berechnung!E127)</f>
        <v>DE2060204</v>
      </c>
      <c r="C66" s="12" t="str">
        <f aca="false">IF(Berechnung!F127="","",Berechnung!F127)</f>
        <v>ITSM &amp; ServiceNow</v>
      </c>
      <c r="D66" s="14" t="n">
        <f aca="false">IF(Berechnung!C127="","",Berechnung!C127)</f>
        <v>110000</v>
      </c>
      <c r="E66" s="14" t="n">
        <f aca="false">IF(Berechnung!D127="","",Berechnung!D127)</f>
        <v>200000</v>
      </c>
      <c r="F66" s="14" t="n">
        <f aca="false">IF(Berechnung!B127="","",Berechnung!B127)</f>
        <v>90000</v>
      </c>
      <c r="G66" s="13" t="str">
        <f aca="false">IF(Berechnung!G127="","",Berechnung!G127)</f>
        <v>erhöht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customFormat="false" ht="15" hidden="false" customHeight="false" outlineLevel="0" collapsed="false">
      <c r="A67" s="15" t="str">
        <f aca="false">IF(Berechnung!A128="","",Berechnung!A128)</f>
        <v>ServiceNow Modul Release Management (SAP)</v>
      </c>
      <c r="B67" s="16" t="str">
        <f aca="false">IF(Berechnung!E128="","",Berechnung!E128)</f>
        <v>DE2060204</v>
      </c>
      <c r="C67" s="15" t="str">
        <f aca="false">IF(Berechnung!F128="","",Berechnung!F128)</f>
        <v>ITSM &amp; ServiceNow</v>
      </c>
      <c r="D67" s="17" t="n">
        <f aca="false">IF(Berechnung!C128="","",Berechnung!C128)</f>
        <v>85000</v>
      </c>
      <c r="E67" s="17" t="n">
        <f aca="false">IF(Berechnung!D128="","",Berechnung!D128)</f>
        <v>0</v>
      </c>
      <c r="F67" s="17" t="n">
        <f aca="false">IF(Berechnung!B128="","",Berechnung!B128)</f>
        <v>-85000</v>
      </c>
      <c r="G67" s="16" t="str">
        <f aca="false">IF(Berechnung!G128="","",Berechnung!G128)</f>
        <v>entfallen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customFormat="false" ht="15" hidden="false" customHeight="false" outlineLevel="0" collapsed="false">
      <c r="A68" s="12" t="str">
        <f aca="false">IF(Berechnung!A129="","",Berechnung!A129)</f>
        <v>ITSM Development</v>
      </c>
      <c r="B68" s="13" t="str">
        <f aca="false">IF(Berechnung!E129="","",Berechnung!E129)</f>
        <v>DE2060204</v>
      </c>
      <c r="C68" s="12" t="str">
        <f aca="false">IF(Berechnung!F129="","",Berechnung!F129)</f>
        <v>ITSM &amp; ServiceNow</v>
      </c>
      <c r="D68" s="14" t="n">
        <f aca="false">IF(Berechnung!C129="","",Berechnung!C129)</f>
        <v>85000</v>
      </c>
      <c r="E68" s="14" t="n">
        <f aca="false">IF(Berechnung!D129="","",Berechnung!D129)</f>
        <v>0</v>
      </c>
      <c r="F68" s="14" t="n">
        <f aca="false">IF(Berechnung!B129="","",Berechnung!B129)</f>
        <v>-85000</v>
      </c>
      <c r="G68" s="13" t="str">
        <f aca="false">IF(Berechnung!G129="","",Berechnung!G129)</f>
        <v>entfallen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customFormat="false" ht="15" hidden="false" customHeight="false" outlineLevel="0" collapsed="false">
      <c r="A69" s="15" t="str">
        <f aca="false">IF(Berechnung!A130="","",Berechnung!A130)</f>
        <v>Webex FlexPlan - Suite</v>
      </c>
      <c r="B69" s="16" t="str">
        <f aca="false">IF(Berechnung!E130="","",Berechnung!E130)</f>
        <v>DE206210</v>
      </c>
      <c r="C69" s="15" t="str">
        <f aca="false">IF(Berechnung!F130="","",Berechnung!F130)</f>
        <v>Unified Communications &amp; Telefonie</v>
      </c>
      <c r="D69" s="17" t="n">
        <f aca="false">IF(Berechnung!C130="","",Berechnung!C130)</f>
        <v>0</v>
      </c>
      <c r="E69" s="17" t="n">
        <f aca="false">IF(Berechnung!D130="","",Berechnung!D130)</f>
        <v>75000</v>
      </c>
      <c r="F69" s="17" t="n">
        <f aca="false">IF(Berechnung!B130="","",Berechnung!B130)</f>
        <v>75000</v>
      </c>
      <c r="G69" s="16" t="str">
        <f aca="false">IF(Berechnung!G130="","",Berechnung!G130)</f>
        <v>neu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customFormat="false" ht="15" hidden="false" customHeight="false" outlineLevel="0" collapsed="false">
      <c r="A71" s="4" t="s">
        <v>23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</sheetData>
  <conditionalFormatting sqref="D11:E11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F58:F69">
    <cfRule type="cellIs" priority="4" operator="greater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dataValidations count="2">
    <dataValidation allowBlank="false" errorStyle="stop" operator="between" prompt="Bitte Eintrag aus der Liste wählen" promptTitle="Auswahl" showDropDown="false" showErrorMessage="false" showInputMessage="false" sqref="C5" type="list">
      <formula1>Berechnung!$J$4:$J$6</formula1>
      <formula2>0</formula2>
    </dataValidation>
    <dataValidation allowBlank="false" errorStyle="stop" operator="between" prompt="Bitte Eintrag aus der Liste wählen" promptTitle="Auswahl" showDropDown="false" showErrorMessage="false" showInputMessage="false" sqref="C7" type="list">
      <formula1>Berechnung!$L$4:$L$14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&amp;LBudgetanalyse FY26/FY27 – &amp;A&amp;R&amp;P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8"/>
    <col collapsed="false" customWidth="true" hidden="false" outlineLevel="0" max="3" min="3" style="0" width="40"/>
    <col collapsed="false" customWidth="true" hidden="false" outlineLevel="0" max="6" min="4" style="0" width="15"/>
    <col collapsed="false" customWidth="true" hidden="false" outlineLevel="0" max="8" min="7" style="0" width="11"/>
  </cols>
  <sheetData>
    <row r="1" customFormat="false" ht="24" hidden="false" customHeight="true" outlineLevel="0" collapsed="false">
      <c r="A1" s="1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3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" hidden="false" customHeight="false" outlineLevel="0" collapsed="false">
      <c r="A4" s="5" t="s">
        <v>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customFormat="false" ht="15" hidden="false" customHeight="false" outlineLevel="0" collapsed="false">
      <c r="A5" s="4" t="s">
        <v>27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customFormat="false" ht="30" hidden="false" customHeight="true" outlineLevel="0" collapsed="false">
      <c r="A6" s="8" t="s">
        <v>28</v>
      </c>
      <c r="B6" s="8" t="s">
        <v>29</v>
      </c>
      <c r="C6" s="8" t="s">
        <v>30</v>
      </c>
      <c r="D6" s="8" t="s">
        <v>31</v>
      </c>
      <c r="E6" s="8" t="s">
        <v>32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customFormat="false" ht="15" hidden="false" customHeight="false" outlineLevel="0" collapsed="false">
      <c r="A7" s="13" t="s">
        <v>33</v>
      </c>
      <c r="B7" s="12" t="s">
        <v>34</v>
      </c>
      <c r="C7" s="13" t="s">
        <v>35</v>
      </c>
      <c r="D7" s="12" t="s">
        <v>36</v>
      </c>
      <c r="E7" s="12" t="s">
        <v>37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customFormat="false" ht="15" hidden="false" customHeight="false" outlineLevel="0" collapsed="false">
      <c r="A8" s="16" t="s">
        <v>38</v>
      </c>
      <c r="B8" s="15" t="s">
        <v>39</v>
      </c>
      <c r="C8" s="16" t="s">
        <v>40</v>
      </c>
      <c r="D8" s="15" t="s">
        <v>41</v>
      </c>
      <c r="E8" s="15" t="s">
        <v>42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customFormat="false" ht="15" hidden="false" customHeight="false" outlineLevel="0" collapsed="false">
      <c r="A9" s="13" t="s">
        <v>35</v>
      </c>
      <c r="B9" s="12" t="s">
        <v>43</v>
      </c>
      <c r="C9" s="13" t="s">
        <v>35</v>
      </c>
      <c r="D9" s="12" t="s">
        <v>36</v>
      </c>
      <c r="E9" s="12" t="s">
        <v>44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Format="false" ht="15" hidden="false" customHeight="false" outlineLevel="0" collapsed="false">
      <c r="A11" s="5" t="s">
        <v>45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customFormat="false" ht="15" hidden="false" customHeight="false" outlineLevel="0" collapsed="false">
      <c r="A12" s="4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Format="false" ht="30" hidden="false" customHeight="true" outlineLevel="0" collapsed="false">
      <c r="A13" s="8" t="s">
        <v>47</v>
      </c>
      <c r="B13" s="8" t="s">
        <v>29</v>
      </c>
      <c r="C13" s="8" t="s">
        <v>31</v>
      </c>
      <c r="D13" s="8" t="s">
        <v>9</v>
      </c>
      <c r="E13" s="8" t="s">
        <v>10</v>
      </c>
      <c r="F13" s="8" t="s">
        <v>11</v>
      </c>
      <c r="G13" s="8" t="s">
        <v>12</v>
      </c>
      <c r="H13" s="8" t="s">
        <v>48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15" hidden="false" customHeight="false" outlineLevel="0" collapsed="false">
      <c r="A14" s="13" t="s">
        <v>33</v>
      </c>
      <c r="B14" s="12" t="s">
        <v>34</v>
      </c>
      <c r="C14" s="12" t="s">
        <v>49</v>
      </c>
      <c r="D14" s="14" t="n">
        <f aca="false">SUMIFS(Positionen!$K$3:$K$74,Positionen!$C$3:$C$74,$A14)</f>
        <v>1055000</v>
      </c>
      <c r="E14" s="14" t="n">
        <f aca="false">SUMIFS(Positionen!$L$3:$L$74,Positionen!$D$3:$D$74,$A14)</f>
        <v>0</v>
      </c>
      <c r="F14" s="14" t="n">
        <f aca="false">E14-D14</f>
        <v>-1055000</v>
      </c>
      <c r="G14" s="18" t="n">
        <f aca="false">IF(D14=0,"",F14/D14)</f>
        <v>-1</v>
      </c>
      <c r="H14" s="18" t="n">
        <f aca="false">IF($E$18=0,"",E14/$E$18)</f>
        <v>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customFormat="false" ht="15" hidden="false" customHeight="false" outlineLevel="0" collapsed="false">
      <c r="A15" s="16" t="s">
        <v>38</v>
      </c>
      <c r="B15" s="15" t="s">
        <v>39</v>
      </c>
      <c r="C15" s="15" t="s">
        <v>49</v>
      </c>
      <c r="D15" s="17" t="n">
        <f aca="false">SUMIFS(Positionen!$K$3:$K$74,Positionen!$C$3:$C$74,$A15)</f>
        <v>10498600</v>
      </c>
      <c r="E15" s="17" t="n">
        <f aca="false">SUMIFS(Positionen!$L$3:$L$74,Positionen!$D$3:$D$74,$A15)</f>
        <v>0</v>
      </c>
      <c r="F15" s="17" t="n">
        <f aca="false">E15-D15</f>
        <v>-10498600</v>
      </c>
      <c r="G15" s="19" t="n">
        <f aca="false">IF(D15=0,"",F15/D15)</f>
        <v>-1</v>
      </c>
      <c r="H15" s="19" t="n">
        <f aca="false">IF($E$18=0,"",E15/$E$18)</f>
        <v>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Format="false" ht="15" hidden="false" customHeight="false" outlineLevel="0" collapsed="false">
      <c r="A16" s="13" t="s">
        <v>35</v>
      </c>
      <c r="B16" s="12" t="s">
        <v>43</v>
      </c>
      <c r="C16" s="12" t="s">
        <v>36</v>
      </c>
      <c r="D16" s="14" t="n">
        <f aca="false">SUMIFS(Positionen!$K$3:$K$74,Positionen!$C$3:$C$74,$A16)</f>
        <v>4610700</v>
      </c>
      <c r="E16" s="14" t="n">
        <f aca="false">SUMIFS(Positionen!$L$3:$L$74,Positionen!$D$3:$D$74,$A16)</f>
        <v>7576000</v>
      </c>
      <c r="F16" s="14" t="n">
        <f aca="false">E16-D16</f>
        <v>2965300</v>
      </c>
      <c r="G16" s="18" t="n">
        <f aca="false">IF(D16=0,"",F16/D16)</f>
        <v>0.64313444813152</v>
      </c>
      <c r="H16" s="18" t="n">
        <f aca="false">IF($E$18=0,"",E16/$E$18)</f>
        <v>0.412185029511545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15" hidden="false" customHeight="false" outlineLevel="0" collapsed="false">
      <c r="A17" s="16" t="s">
        <v>40</v>
      </c>
      <c r="B17" s="15" t="s">
        <v>50</v>
      </c>
      <c r="C17" s="15" t="s">
        <v>41</v>
      </c>
      <c r="D17" s="17" t="n">
        <f aca="false">SUMIFS(Positionen!$K$3:$K$74,Positionen!$C$3:$C$74,$A17)</f>
        <v>0</v>
      </c>
      <c r="E17" s="17" t="n">
        <f aca="false">SUMIFS(Positionen!$L$3:$L$74,Positionen!$D$3:$D$74,$A17)</f>
        <v>10804095</v>
      </c>
      <c r="F17" s="17" t="n">
        <f aca="false">E17-D17</f>
        <v>10804095</v>
      </c>
      <c r="G17" s="19" t="str">
        <f aca="false">IF(D17=0,"",F17/D17)</f>
        <v/>
      </c>
      <c r="H17" s="19" t="n">
        <f aca="false">IF($E$18=0,"",E17/$E$18)</f>
        <v>0.587814970488455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5" hidden="false" customHeight="false" outlineLevel="0" collapsed="false">
      <c r="A18" s="20" t="s">
        <v>51</v>
      </c>
      <c r="B18" s="20"/>
      <c r="C18" s="20"/>
      <c r="D18" s="21" t="n">
        <f aca="false">SUM(D14:D17)</f>
        <v>16164300</v>
      </c>
      <c r="E18" s="21" t="n">
        <f aca="false">SUM(E14:E17)</f>
        <v>18380095</v>
      </c>
      <c r="F18" s="21" t="n">
        <f aca="false">SUM(F14:F17)</f>
        <v>2215795</v>
      </c>
      <c r="G18" s="22" t="n">
        <f aca="false">IF(D18=0,"",F18/D18)</f>
        <v>0.137079551851921</v>
      </c>
      <c r="H18" s="22" t="n">
        <f aca="false">IF(E18=0,"",E18/E18)</f>
        <v>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Format="false" ht="15" hidden="false" customHeight="false" outlineLevel="0" collapsed="false">
      <c r="A21" s="5" t="s">
        <v>52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15" hidden="false" customHeight="false" outlineLevel="0" collapsed="false">
      <c r="A22" s="4" t="s">
        <v>53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30" hidden="false" customHeight="true" outlineLevel="0" collapsed="false">
      <c r="A23" s="8" t="s">
        <v>54</v>
      </c>
      <c r="B23" s="8" t="s">
        <v>55</v>
      </c>
      <c r="C23" s="8" t="s">
        <v>31</v>
      </c>
      <c r="D23" s="8" t="s">
        <v>9</v>
      </c>
      <c r="E23" s="8" t="s">
        <v>10</v>
      </c>
      <c r="F23" s="8" t="s">
        <v>11</v>
      </c>
      <c r="G23" s="8" t="s">
        <v>12</v>
      </c>
      <c r="H23" s="8" t="s">
        <v>48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Format="false" ht="15" hidden="false" customHeight="false" outlineLevel="0" collapsed="false">
      <c r="A24" s="13" t="s">
        <v>35</v>
      </c>
      <c r="B24" s="12" t="s">
        <v>56</v>
      </c>
      <c r="C24" s="12" t="s">
        <v>36</v>
      </c>
      <c r="D24" s="14" t="n">
        <f aca="false">SUMIFS(Positionen!$K$3:$K$74,Positionen!$A$3:$A$74,$A24)</f>
        <v>5665700</v>
      </c>
      <c r="E24" s="14" t="n">
        <f aca="false">SUMIFS(Positionen!$L$3:$L$74,Positionen!$A$3:$A$74,$A24)</f>
        <v>7576000</v>
      </c>
      <c r="F24" s="14" t="n">
        <f aca="false">E24-D24</f>
        <v>1910300</v>
      </c>
      <c r="G24" s="18" t="n">
        <f aca="false">IF(D24=0,"",F24/D24)</f>
        <v>0.337169281818663</v>
      </c>
      <c r="H24" s="18" t="n">
        <f aca="false">IF($E$26=0,"",E24/$E$26)</f>
        <v>0.412185029511545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5" hidden="false" customHeight="false" outlineLevel="0" collapsed="false">
      <c r="A25" s="16" t="s">
        <v>40</v>
      </c>
      <c r="B25" s="15" t="s">
        <v>57</v>
      </c>
      <c r="C25" s="15" t="s">
        <v>41</v>
      </c>
      <c r="D25" s="17" t="n">
        <f aca="false">SUMIFS(Positionen!$K$3:$K$74,Positionen!$A$3:$A$74,$A25)</f>
        <v>10498600</v>
      </c>
      <c r="E25" s="17" t="n">
        <f aca="false">SUMIFS(Positionen!$L$3:$L$74,Positionen!$A$3:$A$74,$A25)</f>
        <v>10804095</v>
      </c>
      <c r="F25" s="17" t="n">
        <f aca="false">E25-D25</f>
        <v>305495</v>
      </c>
      <c r="G25" s="19" t="n">
        <f aca="false">IF(D25=0,"",F25/D25)</f>
        <v>0.0290986417236584</v>
      </c>
      <c r="H25" s="19" t="n">
        <f aca="false">IF($E$26=0,"",E25/$E$26)</f>
        <v>0.587814970488455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5" hidden="false" customHeight="false" outlineLevel="0" collapsed="false">
      <c r="A26" s="20" t="s">
        <v>51</v>
      </c>
      <c r="B26" s="20"/>
      <c r="C26" s="20"/>
      <c r="D26" s="21" t="n">
        <f aca="false">SUM(D24:D25)</f>
        <v>16164300</v>
      </c>
      <c r="E26" s="21" t="n">
        <f aca="false">SUM(E24:E25)</f>
        <v>18380095</v>
      </c>
      <c r="F26" s="21" t="n">
        <f aca="false">SUM(F24:F25)</f>
        <v>2215795</v>
      </c>
      <c r="G26" s="22" t="n">
        <f aca="false">IF(D26=0,"",F26/D26)</f>
        <v>0.137079551851921</v>
      </c>
      <c r="H26" s="22" t="n">
        <f aca="false">IF(E26=0,"",E26/E26)</f>
        <v>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</sheetData>
  <conditionalFormatting sqref="F14:F17">
    <cfRule type="cellIs" priority="2" operator="greaterThan" aboveAverage="0" equalAverage="0" bottom="0" percent="0" rank="0" text="" dxfId="2">
      <formula>0</formula>
    </cfRule>
    <cfRule type="cellIs" priority="3" operator="lessThan" aboveAverage="0" equalAverage="0" bottom="0" percent="0" rank="0" text="" dxfId="3">
      <formula>0</formula>
    </cfRule>
  </conditionalFormatting>
  <conditionalFormatting sqref="F24:F25">
    <cfRule type="cellIs" priority="4" operator="greater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conditionalFormatting sqref="G14:G17">
    <cfRule type="cellIs" priority="6" operator="greaterThan" aboveAverage="0" equalAverage="0" bottom="0" percent="0" rank="0" text="" dxfId="2">
      <formula>0</formula>
    </cfRule>
    <cfRule type="cellIs" priority="7" operator="lessThan" aboveAverage="0" equalAverage="0" bottom="0" percent="0" rank="0" text="" dxfId="3">
      <formula>0</formula>
    </cfRule>
  </conditionalFormatting>
  <conditionalFormatting sqref="G24:G25">
    <cfRule type="cellIs" priority="8" operator="greaterThan" aboveAverage="0" equalAverage="0" bottom="0" percent="0" rank="0" text="" dxfId="2">
      <formula>0</formula>
    </cfRule>
    <cfRule type="cellIs" priority="9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&amp;LBudgetanalyse FY26/FY27 – &amp;A&amp;R&amp;P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5"/>
    <col collapsed="false" customWidth="true" hidden="false" outlineLevel="0" max="8" min="5" style="0" width="11"/>
    <col collapsed="false" customWidth="true" hidden="false" outlineLevel="0" max="9" min="9" style="0" width="13"/>
  </cols>
  <sheetData>
    <row r="1" customFormat="false" ht="24" hidden="false" customHeight="true" outlineLevel="0" collapsed="false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5" hidden="false" customHeight="false" outlineLevel="0" collapsed="false">
      <c r="A2" s="3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15" hidden="false" customHeight="false" outlineLevel="0" collapsed="false">
      <c r="A4" s="5" t="s">
        <v>60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customFormat="false" ht="30" hidden="false" customHeight="true" outlineLevel="0" collapsed="false">
      <c r="A5" s="8" t="s">
        <v>19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48</v>
      </c>
      <c r="G5" s="8" t="s">
        <v>13</v>
      </c>
      <c r="H5" s="8" t="s">
        <v>14</v>
      </c>
      <c r="I5" s="8" t="s">
        <v>15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customFormat="false" ht="15" hidden="false" customHeight="false" outlineLevel="0" collapsed="false">
      <c r="A6" s="12" t="s">
        <v>61</v>
      </c>
      <c r="B6" s="14" t="n">
        <f aca="false">SUMIFS(Positionen!$K$3:$K$74,Positionen!$E$3:$E$74,$A6)</f>
        <v>3953000</v>
      </c>
      <c r="C6" s="14" t="n">
        <f aca="false">SUMIFS(Positionen!$L$3:$L$74,Positionen!$E$3:$E$74,$A6)</f>
        <v>4105500</v>
      </c>
      <c r="D6" s="14" t="n">
        <f aca="false">C6-B6</f>
        <v>152500</v>
      </c>
      <c r="E6" s="18" t="n">
        <f aca="false">IF(B6=0,"",D6/B6)</f>
        <v>0.0385782949658487</v>
      </c>
      <c r="F6" s="18" t="n">
        <f aca="false">IF($C$16=0,"",C6/$C$16)</f>
        <v>0.223366636570703</v>
      </c>
      <c r="G6" s="12" t="n">
        <f aca="false">COUNTIFS(Positionen!$E$3:$E$74,$A6)</f>
        <v>8</v>
      </c>
      <c r="H6" s="12" t="n">
        <f aca="false">COUNTIFS(Positionen!$E$3:$E$74,$A6,Positionen!$O$3:$O$74,"neu")</f>
        <v>0</v>
      </c>
      <c r="I6" s="12" t="n">
        <f aca="false">COUNTIFS(Positionen!$E$3:$E$74,$A6,Positionen!$O$3:$O$74,"entfallen")</f>
        <v>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customFormat="false" ht="15" hidden="false" customHeight="false" outlineLevel="0" collapsed="false">
      <c r="A7" s="15" t="s">
        <v>62</v>
      </c>
      <c r="B7" s="17" t="n">
        <f aca="false">SUMIFS(Positionen!$K$3:$K$74,Positionen!$E$3:$E$74,$A7)</f>
        <v>277100</v>
      </c>
      <c r="C7" s="17" t="n">
        <f aca="false">SUMIFS(Positionen!$L$3:$L$74,Positionen!$E$3:$E$74,$A7)</f>
        <v>347300</v>
      </c>
      <c r="D7" s="17" t="n">
        <f aca="false">C7-B7</f>
        <v>70200</v>
      </c>
      <c r="E7" s="19" t="n">
        <f aca="false">IF(B7=0,"",D7/B7)</f>
        <v>0.253338145073981</v>
      </c>
      <c r="F7" s="19" t="n">
        <f aca="false">IF($C$16=0,"",C7/$C$16)</f>
        <v>0.0188954409648046</v>
      </c>
      <c r="G7" s="15" t="n">
        <f aca="false">COUNTIFS(Positionen!$E$3:$E$74,$A7)</f>
        <v>9</v>
      </c>
      <c r="H7" s="15" t="n">
        <f aca="false">COUNTIFS(Positionen!$E$3:$E$74,$A7,Positionen!$O$3:$O$74,"neu")</f>
        <v>3</v>
      </c>
      <c r="I7" s="15" t="n">
        <f aca="false">COUNTIFS(Positionen!$E$3:$E$74,$A7,Positionen!$O$3:$O$74,"entfallen")</f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customFormat="false" ht="15" hidden="false" customHeight="false" outlineLevel="0" collapsed="false">
      <c r="A8" s="12" t="s">
        <v>63</v>
      </c>
      <c r="B8" s="14" t="n">
        <f aca="false">SUMIFS(Positionen!$K$3:$K$74,Positionen!$E$3:$E$74,$A8)</f>
        <v>8000</v>
      </c>
      <c r="C8" s="14" t="n">
        <f aca="false">SUMIFS(Positionen!$L$3:$L$74,Positionen!$E$3:$E$74,$A8)</f>
        <v>8000</v>
      </c>
      <c r="D8" s="14" t="n">
        <f aca="false">C8-B8</f>
        <v>0</v>
      </c>
      <c r="E8" s="18" t="n">
        <f aca="false">IF(B8=0,"",D8/B8)</f>
        <v>0</v>
      </c>
      <c r="F8" s="18" t="n">
        <f aca="false">IF($C$16=0,"",C8/$C$16)</f>
        <v>0.000435253463053374</v>
      </c>
      <c r="G8" s="12" t="n">
        <f aca="false">COUNTIFS(Positionen!$E$3:$E$74,$A8)</f>
        <v>2</v>
      </c>
      <c r="H8" s="12" t="n">
        <f aca="false">COUNTIFS(Positionen!$E$3:$E$74,$A8,Positionen!$O$3:$O$74,"neu")</f>
        <v>0</v>
      </c>
      <c r="I8" s="12" t="n">
        <f aca="false">COUNTIFS(Positionen!$E$3:$E$74,$A8,Positionen!$O$3:$O$74,"entfallen")</f>
        <v>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customFormat="false" ht="15" hidden="false" customHeight="false" outlineLevel="0" collapsed="false">
      <c r="A9" s="15" t="s">
        <v>64</v>
      </c>
      <c r="B9" s="17" t="n">
        <f aca="false">SUMIFS(Positionen!$K$3:$K$74,Positionen!$E$3:$E$74,$A9)</f>
        <v>64000</v>
      </c>
      <c r="C9" s="17" t="n">
        <f aca="false">SUMIFS(Positionen!$L$3:$L$74,Positionen!$E$3:$E$74,$A9)</f>
        <v>62000</v>
      </c>
      <c r="D9" s="17" t="n">
        <f aca="false">C9-B9</f>
        <v>-2000</v>
      </c>
      <c r="E9" s="19" t="n">
        <f aca="false">IF(B9=0,"",D9/B9)</f>
        <v>-0.03125</v>
      </c>
      <c r="F9" s="19" t="n">
        <f aca="false">IF($C$16=0,"",C9/$C$16)</f>
        <v>0.00337321433866365</v>
      </c>
      <c r="G9" s="15" t="n">
        <f aca="false">COUNTIFS(Positionen!$E$3:$E$74,$A9)</f>
        <v>4</v>
      </c>
      <c r="H9" s="15" t="n">
        <f aca="false">COUNTIFS(Positionen!$E$3:$E$74,$A9,Positionen!$O$3:$O$74,"neu")</f>
        <v>1</v>
      </c>
      <c r="I9" s="15" t="n">
        <f aca="false">COUNTIFS(Positionen!$E$3:$E$74,$A9,Positionen!$O$3:$O$74,"entfallen")</f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customFormat="false" ht="15" hidden="false" customHeight="false" outlineLevel="0" collapsed="false">
      <c r="A10" s="12" t="s">
        <v>65</v>
      </c>
      <c r="B10" s="14" t="n">
        <f aca="false">SUMIFS(Positionen!$K$3:$K$74,Positionen!$E$3:$E$74,$A10)</f>
        <v>1055000</v>
      </c>
      <c r="C10" s="14" t="n">
        <f aca="false">SUMIFS(Positionen!$L$3:$L$74,Positionen!$E$3:$E$74,$A10)</f>
        <v>2810000</v>
      </c>
      <c r="D10" s="14" t="n">
        <f aca="false">C10-B10</f>
        <v>1755000</v>
      </c>
      <c r="E10" s="18" t="n">
        <f aca="false">IF(B10=0,"",D10/B10)</f>
        <v>1.66350710900474</v>
      </c>
      <c r="F10" s="18" t="n">
        <f aca="false">IF($C$16=0,"",C10/$C$16)</f>
        <v>0.152882778897498</v>
      </c>
      <c r="G10" s="12" t="n">
        <f aca="false">COUNTIFS(Positionen!$E$3:$E$74,$A10)</f>
        <v>10</v>
      </c>
      <c r="H10" s="12" t="n">
        <f aca="false">COUNTIFS(Positionen!$E$3:$E$74,$A10,Positionen!$O$3:$O$74,"neu")</f>
        <v>5</v>
      </c>
      <c r="I10" s="12" t="n">
        <f aca="false">COUNTIFS(Positionen!$E$3:$E$74,$A10,Positionen!$O$3:$O$74,"entfallen")</f>
        <v>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customFormat="false" ht="15" hidden="false" customHeight="false" outlineLevel="0" collapsed="false">
      <c r="A11" s="15" t="s">
        <v>66</v>
      </c>
      <c r="B11" s="17" t="n">
        <f aca="false">SUMIFS(Positionen!$K$3:$K$74,Positionen!$E$3:$E$74,$A11)</f>
        <v>465000</v>
      </c>
      <c r="C11" s="17" t="n">
        <f aca="false">SUMIFS(Positionen!$L$3:$L$74,Positionen!$E$3:$E$74,$A11)</f>
        <v>240000</v>
      </c>
      <c r="D11" s="17" t="n">
        <f aca="false">C11-B11</f>
        <v>-225000</v>
      </c>
      <c r="E11" s="19" t="n">
        <f aca="false">IF(B11=0,"",D11/B11)</f>
        <v>-0.483870967741936</v>
      </c>
      <c r="F11" s="19" t="n">
        <f aca="false">IF($C$16=0,"",C11/$C$16)</f>
        <v>0.0130576038916012</v>
      </c>
      <c r="G11" s="15" t="n">
        <f aca="false">COUNTIFS(Positionen!$E$3:$E$74,$A11)</f>
        <v>2</v>
      </c>
      <c r="H11" s="15" t="n">
        <f aca="false">COUNTIFS(Positionen!$E$3:$E$74,$A11,Positionen!$O$3:$O$74,"neu")</f>
        <v>0</v>
      </c>
      <c r="I11" s="15" t="n">
        <f aca="false">COUNTIFS(Positionen!$E$3:$E$74,$A11,Positionen!$O$3:$O$74,"entfallen")</f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customFormat="false" ht="15" hidden="false" customHeight="false" outlineLevel="0" collapsed="false">
      <c r="A12" s="12" t="s">
        <v>67</v>
      </c>
      <c r="B12" s="14" t="n">
        <f aca="false">SUMIFS(Positionen!$K$3:$K$74,Positionen!$E$3:$E$74,$A12)</f>
        <v>7925500</v>
      </c>
      <c r="C12" s="14" t="n">
        <f aca="false">SUMIFS(Positionen!$L$3:$L$74,Positionen!$E$3:$E$74,$A12)</f>
        <v>7800000</v>
      </c>
      <c r="D12" s="14" t="n">
        <f aca="false">C12-B12</f>
        <v>-125500</v>
      </c>
      <c r="E12" s="18" t="n">
        <f aca="false">IF(B12=0,"",D12/B12)</f>
        <v>-0.0158349630938111</v>
      </c>
      <c r="F12" s="18" t="n">
        <f aca="false">IF($C$16=0,"",C12/$C$16)</f>
        <v>0.424372126477039</v>
      </c>
      <c r="G12" s="12" t="n">
        <f aca="false">COUNTIFS(Positionen!$E$3:$E$74,$A12)</f>
        <v>10</v>
      </c>
      <c r="H12" s="12" t="n">
        <f aca="false">COUNTIFS(Positionen!$E$3:$E$74,$A12,Positionen!$O$3:$O$74,"neu")</f>
        <v>0</v>
      </c>
      <c r="I12" s="12" t="n">
        <f aca="false">COUNTIFS(Positionen!$E$3:$E$74,$A12,Positionen!$O$3:$O$74,"entfallen")</f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customFormat="false" ht="15" hidden="false" customHeight="false" outlineLevel="0" collapsed="false">
      <c r="A13" s="15" t="s">
        <v>68</v>
      </c>
      <c r="B13" s="17" t="n">
        <f aca="false">SUMIFS(Positionen!$K$3:$K$74,Positionen!$E$3:$E$74,$A13)</f>
        <v>131000</v>
      </c>
      <c r="C13" s="17" t="n">
        <f aca="false">SUMIFS(Positionen!$L$3:$L$74,Positionen!$E$3:$E$74,$A13)</f>
        <v>154600</v>
      </c>
      <c r="D13" s="17" t="n">
        <f aca="false">C13-B13</f>
        <v>23600</v>
      </c>
      <c r="E13" s="19" t="n">
        <f aca="false">IF(B13=0,"",D13/B13)</f>
        <v>0.180152671755725</v>
      </c>
      <c r="F13" s="19" t="n">
        <f aca="false">IF($C$16=0,"",C13/$C$16)</f>
        <v>0.00841127317350645</v>
      </c>
      <c r="G13" s="15" t="n">
        <f aca="false">COUNTIFS(Positionen!$E$3:$E$74,$A13)</f>
        <v>6</v>
      </c>
      <c r="H13" s="15" t="n">
        <f aca="false">COUNTIFS(Positionen!$E$3:$E$74,$A13,Positionen!$O$3:$O$74,"neu")</f>
        <v>1</v>
      </c>
      <c r="I13" s="15" t="n">
        <f aca="false">COUNTIFS(Positionen!$E$3:$E$74,$A13,Positionen!$O$3:$O$74,"entfallen")</f>
        <v>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customFormat="false" ht="15" hidden="false" customHeight="false" outlineLevel="0" collapsed="false">
      <c r="A14" s="12" t="s">
        <v>69</v>
      </c>
      <c r="B14" s="14" t="n">
        <f aca="false">SUMIFS(Positionen!$K$3:$K$74,Positionen!$E$3:$E$74,$A14)</f>
        <v>466200</v>
      </c>
      <c r="C14" s="14" t="n">
        <f aca="false">SUMIFS(Positionen!$L$3:$L$74,Positionen!$E$3:$E$74,$A14)</f>
        <v>458400</v>
      </c>
      <c r="D14" s="14" t="n">
        <f aca="false">C14-B14</f>
        <v>-7800</v>
      </c>
      <c r="E14" s="18" t="n">
        <f aca="false">IF(B14=0,"",D14/B14)</f>
        <v>-0.0167310167310167</v>
      </c>
      <c r="F14" s="18" t="n">
        <f aca="false">IF($C$16=0,"",C14/$C$16)</f>
        <v>0.0249400234329583</v>
      </c>
      <c r="G14" s="12" t="n">
        <f aca="false">COUNTIFS(Positionen!$E$3:$E$74,$A14)</f>
        <v>3</v>
      </c>
      <c r="H14" s="12" t="n">
        <f aca="false">COUNTIFS(Positionen!$E$3:$E$74,$A14,Positionen!$O$3:$O$74,"neu")</f>
        <v>0</v>
      </c>
      <c r="I14" s="12" t="n">
        <f aca="false">COUNTIFS(Positionen!$E$3:$E$74,$A14,Positionen!$O$3:$O$74,"entfallen")</f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customFormat="false" ht="15" hidden="false" customHeight="false" outlineLevel="0" collapsed="false">
      <c r="A15" s="15" t="s">
        <v>70</v>
      </c>
      <c r="B15" s="17" t="n">
        <f aca="false">SUMIFS(Positionen!$K$3:$K$74,Positionen!$E$3:$E$74,$A15)</f>
        <v>1819500</v>
      </c>
      <c r="C15" s="17" t="n">
        <f aca="false">SUMIFS(Positionen!$L$3:$L$74,Positionen!$E$3:$E$74,$A15)</f>
        <v>2394295</v>
      </c>
      <c r="D15" s="17" t="n">
        <f aca="false">C15-B15</f>
        <v>574795</v>
      </c>
      <c r="E15" s="19" t="n">
        <f aca="false">IF(B15=0,"",D15/B15)</f>
        <v>0.315908216543006</v>
      </c>
      <c r="F15" s="19" t="n">
        <f aca="false">IF($C$16=0,"",C15/$C$16)</f>
        <v>0.130265648790172</v>
      </c>
      <c r="G15" s="15" t="n">
        <f aca="false">COUNTIFS(Positionen!$E$3:$E$74,$A15)</f>
        <v>18</v>
      </c>
      <c r="H15" s="15" t="n">
        <f aca="false">COUNTIFS(Positionen!$E$3:$E$74,$A15,Positionen!$O$3:$O$74,"neu")</f>
        <v>3</v>
      </c>
      <c r="I15" s="15" t="n">
        <f aca="false">COUNTIFS(Positionen!$E$3:$E$74,$A15,Positionen!$O$3:$O$74,"entfallen")</f>
        <v>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customFormat="false" ht="15" hidden="false" customHeight="false" outlineLevel="0" collapsed="false">
      <c r="A16" s="20" t="s">
        <v>51</v>
      </c>
      <c r="B16" s="21" t="n">
        <f aca="false">SUM(B6:B15)</f>
        <v>16164300</v>
      </c>
      <c r="C16" s="21" t="n">
        <f aca="false">SUM(C6:C15)</f>
        <v>18380095</v>
      </c>
      <c r="D16" s="21" t="n">
        <f aca="false">SUM(D6:D15)</f>
        <v>2215795</v>
      </c>
      <c r="E16" s="22" t="n">
        <f aca="false">IF(B16=0,"",D16/B16)</f>
        <v>0.137079551851921</v>
      </c>
      <c r="F16" s="22" t="n">
        <f aca="false">IF(C16=0,"",C16/C16)</f>
        <v>1</v>
      </c>
      <c r="G16" s="20" t="n">
        <f aca="false">SUM(G6:G15)</f>
        <v>72</v>
      </c>
      <c r="H16" s="20" t="n">
        <f aca="false">SUM(H6:H15)</f>
        <v>13</v>
      </c>
      <c r="I16" s="20" t="n">
        <f aca="false">SUM(I6:I15)</f>
        <v>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customFormat="false" ht="15" hidden="false" customHeight="false" outlineLevel="0" collapsed="false">
      <c r="A19" s="5" t="s">
        <v>71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customFormat="false" ht="30" hidden="false" customHeight="true" outlineLevel="0" collapsed="false">
      <c r="A20" s="8" t="s">
        <v>19</v>
      </c>
      <c r="B20" s="8" t="s">
        <v>35</v>
      </c>
      <c r="C20" s="8" t="s">
        <v>40</v>
      </c>
      <c r="D20" s="8" t="s">
        <v>72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customFormat="false" ht="15" hidden="false" customHeight="false" outlineLevel="0" collapsed="false">
      <c r="A21" s="12" t="s">
        <v>61</v>
      </c>
      <c r="B21" s="14" t="n">
        <f aca="false">SUMIFS(Positionen!$L$3:$L$74,Positionen!$E$3:$E$74,$A21,Positionen!$A$3:$A$74,B$20)</f>
        <v>4083000</v>
      </c>
      <c r="C21" s="14" t="n">
        <f aca="false">SUMIFS(Positionen!$L$3:$L$74,Positionen!$E$3:$E$74,$A21,Positionen!$A$3:$A$74,C$20)</f>
        <v>22500</v>
      </c>
      <c r="D21" s="14" t="n">
        <f aca="false">SUM(B21:C21)</f>
        <v>4105500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customFormat="false" ht="15" hidden="false" customHeight="false" outlineLevel="0" collapsed="false">
      <c r="A22" s="15" t="s">
        <v>62</v>
      </c>
      <c r="B22" s="17" t="n">
        <f aca="false">SUMIFS(Positionen!$L$3:$L$74,Positionen!$E$3:$E$74,$A22,Positionen!$A$3:$A$74,B$20)</f>
        <v>0</v>
      </c>
      <c r="C22" s="17" t="n">
        <f aca="false">SUMIFS(Positionen!$L$3:$L$74,Positionen!$E$3:$E$74,$A22,Positionen!$A$3:$A$74,C$20)</f>
        <v>347300</v>
      </c>
      <c r="D22" s="17" t="n">
        <f aca="false">SUM(B22:C22)</f>
        <v>347300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customFormat="false" ht="15" hidden="false" customHeight="false" outlineLevel="0" collapsed="false">
      <c r="A23" s="12" t="s">
        <v>63</v>
      </c>
      <c r="B23" s="14" t="n">
        <f aca="false">SUMIFS(Positionen!$L$3:$L$74,Positionen!$E$3:$E$74,$A23,Positionen!$A$3:$A$74,B$20)</f>
        <v>0</v>
      </c>
      <c r="C23" s="14" t="n">
        <f aca="false">SUMIFS(Positionen!$L$3:$L$74,Positionen!$E$3:$E$74,$A23,Positionen!$A$3:$A$74,C$20)</f>
        <v>8000</v>
      </c>
      <c r="D23" s="14" t="n">
        <f aca="false">SUM(B23:C23)</f>
        <v>8000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customFormat="false" ht="15" hidden="false" customHeight="false" outlineLevel="0" collapsed="false">
      <c r="A24" s="15" t="s">
        <v>64</v>
      </c>
      <c r="B24" s="17" t="n">
        <f aca="false">SUMIFS(Positionen!$L$3:$L$74,Positionen!$E$3:$E$74,$A24,Positionen!$A$3:$A$74,B$20)</f>
        <v>0</v>
      </c>
      <c r="C24" s="17" t="n">
        <f aca="false">SUMIFS(Positionen!$L$3:$L$74,Positionen!$E$3:$E$74,$A24,Positionen!$A$3:$A$74,C$20)</f>
        <v>62000</v>
      </c>
      <c r="D24" s="17" t="n">
        <f aca="false">SUM(B24:C24)</f>
        <v>62000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customFormat="false" ht="15" hidden="false" customHeight="false" outlineLevel="0" collapsed="false">
      <c r="A25" s="12" t="s">
        <v>65</v>
      </c>
      <c r="B25" s="14" t="n">
        <f aca="false">SUMIFS(Positionen!$L$3:$L$74,Positionen!$E$3:$E$74,$A25,Positionen!$A$3:$A$74,B$20)</f>
        <v>2810000</v>
      </c>
      <c r="C25" s="14" t="n">
        <f aca="false">SUMIFS(Positionen!$L$3:$L$74,Positionen!$E$3:$E$74,$A25,Positionen!$A$3:$A$74,C$20)</f>
        <v>0</v>
      </c>
      <c r="D25" s="14" t="n">
        <f aca="false">SUM(B25:C25)</f>
        <v>2810000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customFormat="false" ht="15" hidden="false" customHeight="false" outlineLevel="0" collapsed="false">
      <c r="A26" s="15" t="s">
        <v>66</v>
      </c>
      <c r="B26" s="17" t="n">
        <f aca="false">SUMIFS(Positionen!$L$3:$L$74,Positionen!$E$3:$E$74,$A26,Positionen!$A$3:$A$74,B$20)</f>
        <v>0</v>
      </c>
      <c r="C26" s="17" t="n">
        <f aca="false">SUMIFS(Positionen!$L$3:$L$74,Positionen!$E$3:$E$74,$A26,Positionen!$A$3:$A$74,C$20)</f>
        <v>240000</v>
      </c>
      <c r="D26" s="17" t="n">
        <f aca="false">SUM(B26:C26)</f>
        <v>240000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customFormat="false" ht="15" hidden="false" customHeight="false" outlineLevel="0" collapsed="false">
      <c r="A27" s="12" t="s">
        <v>67</v>
      </c>
      <c r="B27" s="14" t="n">
        <f aca="false">SUMIFS(Positionen!$L$3:$L$74,Positionen!$E$3:$E$74,$A27,Positionen!$A$3:$A$74,B$20)</f>
        <v>0</v>
      </c>
      <c r="C27" s="14" t="n">
        <f aca="false">SUMIFS(Positionen!$L$3:$L$74,Positionen!$E$3:$E$74,$A27,Positionen!$A$3:$A$74,C$20)</f>
        <v>7800000</v>
      </c>
      <c r="D27" s="14" t="n">
        <f aca="false">SUM(B27:C27)</f>
        <v>7800000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customFormat="false" ht="15" hidden="false" customHeight="false" outlineLevel="0" collapsed="false">
      <c r="A28" s="15" t="s">
        <v>68</v>
      </c>
      <c r="B28" s="17" t="n">
        <f aca="false">SUMIFS(Positionen!$L$3:$L$74,Positionen!$E$3:$E$74,$A28,Positionen!$A$3:$A$74,B$20)</f>
        <v>154600</v>
      </c>
      <c r="C28" s="17" t="n">
        <f aca="false">SUMIFS(Positionen!$L$3:$L$74,Positionen!$E$3:$E$74,$A28,Positionen!$A$3:$A$74,C$20)</f>
        <v>0</v>
      </c>
      <c r="D28" s="17" t="n">
        <f aca="false">SUM(B28:C28)</f>
        <v>154600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customFormat="false" ht="15" hidden="false" customHeight="false" outlineLevel="0" collapsed="false">
      <c r="A29" s="12" t="s">
        <v>69</v>
      </c>
      <c r="B29" s="14" t="n">
        <f aca="false">SUMIFS(Positionen!$L$3:$L$74,Positionen!$E$3:$E$74,$A29,Positionen!$A$3:$A$74,B$20)</f>
        <v>458400</v>
      </c>
      <c r="C29" s="14" t="n">
        <f aca="false">SUMIFS(Positionen!$L$3:$L$74,Positionen!$E$3:$E$74,$A29,Positionen!$A$3:$A$74,C$20)</f>
        <v>0</v>
      </c>
      <c r="D29" s="14" t="n">
        <f aca="false">SUM(B29:C29)</f>
        <v>458400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customFormat="false" ht="15" hidden="false" customHeight="false" outlineLevel="0" collapsed="false">
      <c r="A30" s="15" t="s">
        <v>70</v>
      </c>
      <c r="B30" s="17" t="n">
        <f aca="false">SUMIFS(Positionen!$L$3:$L$74,Positionen!$E$3:$E$74,$A30,Positionen!$A$3:$A$74,B$20)</f>
        <v>70000</v>
      </c>
      <c r="C30" s="17" t="n">
        <f aca="false">SUMIFS(Positionen!$L$3:$L$74,Positionen!$E$3:$E$74,$A30,Positionen!$A$3:$A$74,C$20)</f>
        <v>2324295</v>
      </c>
      <c r="D30" s="17" t="n">
        <f aca="false">SUM(B30:C30)</f>
        <v>2394295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customFormat="false" ht="15" hidden="false" customHeight="false" outlineLevel="0" collapsed="false">
      <c r="A31" s="20" t="s">
        <v>51</v>
      </c>
      <c r="B31" s="21" t="n">
        <f aca="false">SUM(B21:B30)</f>
        <v>7576000</v>
      </c>
      <c r="C31" s="21" t="n">
        <f aca="false">SUM(C21:C30)</f>
        <v>10804095</v>
      </c>
      <c r="D31" s="21" t="n">
        <f aca="false">SUM(D21:D30)</f>
        <v>18380095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customFormat="false" ht="15" hidden="false" customHeight="false" outlineLevel="0" collapsed="false">
      <c r="A34" s="5" t="s">
        <v>73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customFormat="false" ht="30" hidden="false" customHeight="true" outlineLevel="0" collapsed="false">
      <c r="A35" s="8" t="s">
        <v>19</v>
      </c>
      <c r="B35" s="8" t="s">
        <v>35</v>
      </c>
      <c r="C35" s="8" t="s">
        <v>40</v>
      </c>
      <c r="D35" s="8" t="s">
        <v>74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customFormat="false" ht="15" hidden="false" customHeight="false" outlineLevel="0" collapsed="false">
      <c r="A36" s="12" t="s">
        <v>61</v>
      </c>
      <c r="B36" s="14" t="n">
        <f aca="false">SUMIFS(Positionen!$L$3:$L$74,Positionen!$E$3:$E$74,$A36,Positionen!$A$3:$A$74,B$35)-SUMIFS(Positionen!$K$3:$K$74,Positionen!$E$3:$E$74,$A36,Positionen!$A$3:$A$74,B$35)</f>
        <v>145000</v>
      </c>
      <c r="C36" s="14" t="n">
        <f aca="false">SUMIFS(Positionen!$L$3:$L$74,Positionen!$E$3:$E$74,$A36,Positionen!$A$3:$A$74,C$35)-SUMIFS(Positionen!$K$3:$K$74,Positionen!$E$3:$E$74,$A36,Positionen!$A$3:$A$74,C$35)</f>
        <v>7500</v>
      </c>
      <c r="D36" s="14" t="n">
        <f aca="false">SUM(B36:C36)</f>
        <v>152500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customFormat="false" ht="15" hidden="false" customHeight="false" outlineLevel="0" collapsed="false">
      <c r="A37" s="15" t="s">
        <v>62</v>
      </c>
      <c r="B37" s="17" t="n">
        <f aca="false">SUMIFS(Positionen!$L$3:$L$74,Positionen!$E$3:$E$74,$A37,Positionen!$A$3:$A$74,B$35)-SUMIFS(Positionen!$K$3:$K$74,Positionen!$E$3:$E$74,$A37,Positionen!$A$3:$A$74,B$35)</f>
        <v>0</v>
      </c>
      <c r="C37" s="17" t="n">
        <f aca="false">SUMIFS(Positionen!$L$3:$L$74,Positionen!$E$3:$E$74,$A37,Positionen!$A$3:$A$74,C$35)-SUMIFS(Positionen!$K$3:$K$74,Positionen!$E$3:$E$74,$A37,Positionen!$A$3:$A$74,C$35)</f>
        <v>70200</v>
      </c>
      <c r="D37" s="17" t="n">
        <f aca="false">SUM(B37:C37)</f>
        <v>70200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customFormat="false" ht="15" hidden="false" customHeight="false" outlineLevel="0" collapsed="false">
      <c r="A38" s="12" t="s">
        <v>63</v>
      </c>
      <c r="B38" s="14" t="n">
        <f aca="false">SUMIFS(Positionen!$L$3:$L$74,Positionen!$E$3:$E$74,$A38,Positionen!$A$3:$A$74,B$35)-SUMIFS(Positionen!$K$3:$K$74,Positionen!$E$3:$E$74,$A38,Positionen!$A$3:$A$74,B$35)</f>
        <v>0</v>
      </c>
      <c r="C38" s="14" t="n">
        <f aca="false">SUMIFS(Positionen!$L$3:$L$74,Positionen!$E$3:$E$74,$A38,Positionen!$A$3:$A$74,C$35)-SUMIFS(Positionen!$K$3:$K$74,Positionen!$E$3:$E$74,$A38,Positionen!$A$3:$A$74,C$35)</f>
        <v>0</v>
      </c>
      <c r="D38" s="14" t="n">
        <f aca="false">SUM(B38:C38)</f>
        <v>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customFormat="false" ht="15" hidden="false" customHeight="false" outlineLevel="0" collapsed="false">
      <c r="A39" s="15" t="s">
        <v>64</v>
      </c>
      <c r="B39" s="17" t="n">
        <f aca="false">SUMIFS(Positionen!$L$3:$L$74,Positionen!$E$3:$E$74,$A39,Positionen!$A$3:$A$74,B$35)-SUMIFS(Positionen!$K$3:$K$74,Positionen!$E$3:$E$74,$A39,Positionen!$A$3:$A$74,B$35)</f>
        <v>0</v>
      </c>
      <c r="C39" s="17" t="n">
        <f aca="false">SUMIFS(Positionen!$L$3:$L$74,Positionen!$E$3:$E$74,$A39,Positionen!$A$3:$A$74,C$35)-SUMIFS(Positionen!$K$3:$K$74,Positionen!$E$3:$E$74,$A39,Positionen!$A$3:$A$74,C$35)</f>
        <v>-2000</v>
      </c>
      <c r="D39" s="17" t="n">
        <f aca="false">SUM(B39:C39)</f>
        <v>-2000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customFormat="false" ht="15" hidden="false" customHeight="false" outlineLevel="0" collapsed="false">
      <c r="A40" s="12" t="s">
        <v>65</v>
      </c>
      <c r="B40" s="14" t="n">
        <f aca="false">SUMIFS(Positionen!$L$3:$L$74,Positionen!$E$3:$E$74,$A40,Positionen!$A$3:$A$74,B$35)-SUMIFS(Positionen!$K$3:$K$74,Positionen!$E$3:$E$74,$A40,Positionen!$A$3:$A$74,B$35)</f>
        <v>1755000</v>
      </c>
      <c r="C40" s="14" t="n">
        <f aca="false">SUMIFS(Positionen!$L$3:$L$74,Positionen!$E$3:$E$74,$A40,Positionen!$A$3:$A$74,C$35)-SUMIFS(Positionen!$K$3:$K$74,Positionen!$E$3:$E$74,$A40,Positionen!$A$3:$A$74,C$35)</f>
        <v>0</v>
      </c>
      <c r="D40" s="14" t="n">
        <f aca="false">SUM(B40:C40)</f>
        <v>1755000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customFormat="false" ht="15" hidden="false" customHeight="false" outlineLevel="0" collapsed="false">
      <c r="A41" s="15" t="s">
        <v>66</v>
      </c>
      <c r="B41" s="17" t="n">
        <f aca="false">SUMIFS(Positionen!$L$3:$L$74,Positionen!$E$3:$E$74,$A41,Positionen!$A$3:$A$74,B$35)-SUMIFS(Positionen!$K$3:$K$74,Positionen!$E$3:$E$74,$A41,Positionen!$A$3:$A$74,B$35)</f>
        <v>0</v>
      </c>
      <c r="C41" s="17" t="n">
        <f aca="false">SUMIFS(Positionen!$L$3:$L$74,Positionen!$E$3:$E$74,$A41,Positionen!$A$3:$A$74,C$35)-SUMIFS(Positionen!$K$3:$K$74,Positionen!$E$3:$E$74,$A41,Positionen!$A$3:$A$74,C$35)</f>
        <v>-225000</v>
      </c>
      <c r="D41" s="17" t="n">
        <f aca="false">SUM(B41:C41)</f>
        <v>-225000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customFormat="false" ht="15" hidden="false" customHeight="false" outlineLevel="0" collapsed="false">
      <c r="A42" s="12" t="s">
        <v>67</v>
      </c>
      <c r="B42" s="14" t="n">
        <f aca="false">SUMIFS(Positionen!$L$3:$L$74,Positionen!$E$3:$E$74,$A42,Positionen!$A$3:$A$74,B$35)-SUMIFS(Positionen!$K$3:$K$74,Positionen!$E$3:$E$74,$A42,Positionen!$A$3:$A$74,B$35)</f>
        <v>0</v>
      </c>
      <c r="C42" s="14" t="n">
        <f aca="false">SUMIFS(Positionen!$L$3:$L$74,Positionen!$E$3:$E$74,$A42,Positionen!$A$3:$A$74,C$35)-SUMIFS(Positionen!$K$3:$K$74,Positionen!$E$3:$E$74,$A42,Positionen!$A$3:$A$74,C$35)</f>
        <v>-125500</v>
      </c>
      <c r="D42" s="14" t="n">
        <f aca="false">SUM(B42:C42)</f>
        <v>-125500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customFormat="false" ht="15" hidden="false" customHeight="false" outlineLevel="0" collapsed="false">
      <c r="A43" s="15" t="s">
        <v>68</v>
      </c>
      <c r="B43" s="17" t="n">
        <f aca="false">SUMIFS(Positionen!$L$3:$L$74,Positionen!$E$3:$E$74,$A43,Positionen!$A$3:$A$74,B$35)-SUMIFS(Positionen!$K$3:$K$74,Positionen!$E$3:$E$74,$A43,Positionen!$A$3:$A$74,B$35)</f>
        <v>23600</v>
      </c>
      <c r="C43" s="17" t="n">
        <f aca="false">SUMIFS(Positionen!$L$3:$L$74,Positionen!$E$3:$E$74,$A43,Positionen!$A$3:$A$74,C$35)-SUMIFS(Positionen!$K$3:$K$74,Positionen!$E$3:$E$74,$A43,Positionen!$A$3:$A$74,C$35)</f>
        <v>0</v>
      </c>
      <c r="D43" s="17" t="n">
        <f aca="false">SUM(B43:C43)</f>
        <v>23600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customFormat="false" ht="15" hidden="false" customHeight="false" outlineLevel="0" collapsed="false">
      <c r="A44" s="12" t="s">
        <v>69</v>
      </c>
      <c r="B44" s="14" t="n">
        <f aca="false">SUMIFS(Positionen!$L$3:$L$74,Positionen!$E$3:$E$74,$A44,Positionen!$A$3:$A$74,B$35)-SUMIFS(Positionen!$K$3:$K$74,Positionen!$E$3:$E$74,$A44,Positionen!$A$3:$A$74,B$35)</f>
        <v>-7800</v>
      </c>
      <c r="C44" s="14" t="n">
        <f aca="false">SUMIFS(Positionen!$L$3:$L$74,Positionen!$E$3:$E$74,$A44,Positionen!$A$3:$A$74,C$35)-SUMIFS(Positionen!$K$3:$K$74,Positionen!$E$3:$E$74,$A44,Positionen!$A$3:$A$74,C$35)</f>
        <v>0</v>
      </c>
      <c r="D44" s="14" t="n">
        <f aca="false">SUM(B44:C44)</f>
        <v>-7800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customFormat="false" ht="15" hidden="false" customHeight="false" outlineLevel="0" collapsed="false">
      <c r="A45" s="15" t="s">
        <v>70</v>
      </c>
      <c r="B45" s="17" t="n">
        <f aca="false">SUMIFS(Positionen!$L$3:$L$74,Positionen!$E$3:$E$74,$A45,Positionen!$A$3:$A$74,B$35)-SUMIFS(Positionen!$K$3:$K$74,Positionen!$E$3:$E$74,$A45,Positionen!$A$3:$A$74,B$35)</f>
        <v>-5500</v>
      </c>
      <c r="C45" s="17" t="n">
        <f aca="false">SUMIFS(Positionen!$L$3:$L$74,Positionen!$E$3:$E$74,$A45,Positionen!$A$3:$A$74,C$35)-SUMIFS(Positionen!$K$3:$K$74,Positionen!$E$3:$E$74,$A45,Positionen!$A$3:$A$74,C$35)</f>
        <v>580295</v>
      </c>
      <c r="D45" s="17" t="n">
        <f aca="false">SUM(B45:C45)</f>
        <v>574795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customFormat="false" ht="15" hidden="false" customHeight="false" outlineLevel="0" collapsed="false">
      <c r="A46" s="20" t="s">
        <v>51</v>
      </c>
      <c r="B46" s="21" t="n">
        <f aca="false">SUM(B36:B45)</f>
        <v>1910300</v>
      </c>
      <c r="C46" s="21" t="n">
        <f aca="false">SUM(C36:C45)</f>
        <v>305495</v>
      </c>
      <c r="D46" s="21" t="n">
        <f aca="false">SUM(D36:D45)</f>
        <v>2215795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customFormat="false" ht="15" hidden="false" customHeight="false" outlineLevel="0" collapsed="false">
      <c r="A48" s="4" t="s">
        <v>75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</sheetData>
  <conditionalFormatting sqref="D6:D15">
    <cfRule type="cellIs" priority="2" operator="greaterThan" aboveAverage="0" equalAverage="0" bottom="0" percent="0" rank="0" text="" dxfId="2">
      <formula>0</formula>
    </cfRule>
    <cfRule type="cellIs" priority="3" operator="lessThan" aboveAverage="0" equalAverage="0" bottom="0" percent="0" rank="0" text="" dxfId="3">
      <formula>0</formula>
    </cfRule>
  </conditionalFormatting>
  <conditionalFormatting sqref="E6:E15">
    <cfRule type="cellIs" priority="4" operator="greater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conditionalFormatting sqref="B36:D45">
    <cfRule type="cellIs" priority="6" operator="greaterThan" aboveAverage="0" equalAverage="0" bottom="0" percent="0" rank="0" text="" dxfId="4">
      <formula>0</formula>
    </cfRule>
    <cfRule type="cellIs" priority="7" operator="less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&amp;LBudgetanalyse FY26/FY27 – &amp;A&amp;R&amp;P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30"/>
    <col collapsed="false" customWidth="true" hidden="false" outlineLevel="0" max="6" min="6" style="0" width="52"/>
    <col collapsed="false" customWidth="true" hidden="false" outlineLevel="0" max="7" min="7" style="0" width="34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2" min="11" style="0" width="15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23" t="s">
        <v>76</v>
      </c>
      <c r="B1" s="2"/>
      <c r="C1" s="2"/>
      <c r="D1" s="2"/>
      <c r="E1" s="2"/>
      <c r="F1" s="4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30" hidden="false" customHeight="true" outlineLevel="0" collapsed="false">
      <c r="A2" s="8" t="s">
        <v>77</v>
      </c>
      <c r="B2" s="8" t="s">
        <v>78</v>
      </c>
      <c r="C2" s="8" t="s">
        <v>79</v>
      </c>
      <c r="D2" s="8" t="s">
        <v>80</v>
      </c>
      <c r="E2" s="8" t="s">
        <v>19</v>
      </c>
      <c r="F2" s="8" t="s">
        <v>17</v>
      </c>
      <c r="G2" s="8" t="s">
        <v>81</v>
      </c>
      <c r="H2" s="8" t="s">
        <v>82</v>
      </c>
      <c r="I2" s="8" t="s">
        <v>83</v>
      </c>
      <c r="J2" s="8" t="s">
        <v>84</v>
      </c>
      <c r="K2" s="8" t="s">
        <v>85</v>
      </c>
      <c r="L2" s="8" t="s">
        <v>86</v>
      </c>
      <c r="M2" s="8" t="s">
        <v>11</v>
      </c>
      <c r="N2" s="8" t="s">
        <v>12</v>
      </c>
      <c r="O2" s="8" t="s">
        <v>22</v>
      </c>
      <c r="P2" s="8" t="s">
        <v>87</v>
      </c>
      <c r="Q2" s="2"/>
    </row>
    <row r="3" customFormat="false" ht="15" hidden="false" customHeight="false" outlineLevel="0" collapsed="false">
      <c r="A3" s="13" t="s">
        <v>35</v>
      </c>
      <c r="B3" s="12" t="s">
        <v>36</v>
      </c>
      <c r="C3" s="13" t="s">
        <v>35</v>
      </c>
      <c r="D3" s="13" t="s">
        <v>35</v>
      </c>
      <c r="E3" s="12" t="s">
        <v>61</v>
      </c>
      <c r="F3" s="24" t="s">
        <v>88</v>
      </c>
      <c r="G3" s="12" t="s">
        <v>89</v>
      </c>
      <c r="H3" s="13" t="s">
        <v>90</v>
      </c>
      <c r="I3" s="13" t="s">
        <v>91</v>
      </c>
      <c r="J3" s="13" t="s">
        <v>92</v>
      </c>
      <c r="K3" s="14" t="n">
        <v>2900000</v>
      </c>
      <c r="L3" s="14" t="n">
        <v>3000000</v>
      </c>
      <c r="M3" s="14" t="n">
        <f aca="false">L3-K3</f>
        <v>100000</v>
      </c>
      <c r="N3" s="18" t="n">
        <f aca="false">IF(K3=0,"",M3/K3)</f>
        <v>0.0344827586206897</v>
      </c>
      <c r="O3" s="13" t="str">
        <f aca="false">IF(K3=0,"neu",IF(L3=0,"entfallen",IF(M3&gt;0,"erhöht",IF(M3&lt;0,"reduziert","unverändert"))))</f>
        <v>erhöht</v>
      </c>
      <c r="P3" s="12" t="str">
        <f aca="false">IF(C3="","erstmals in FY27",IF(D3="","nur in FY26",IF(C3=D3,"",IF(D3=IFERROR(INDEX('Cost Center'!$C$7:$C$9,MATCH(C3,'Cost Center'!$A$7:$A$9,0)),""),"Reorg-Überführung "&amp;C3&amp;" -&gt; "&amp;D3,"abweichende Verlagerung "&amp;C3&amp;" -&gt; "&amp;D3))))</f>
        <v/>
      </c>
      <c r="Q3" s="2"/>
    </row>
    <row r="4" customFormat="false" ht="15" hidden="false" customHeight="false" outlineLevel="0" collapsed="false">
      <c r="A4" s="16" t="s">
        <v>35</v>
      </c>
      <c r="B4" s="15" t="s">
        <v>36</v>
      </c>
      <c r="C4" s="16" t="s">
        <v>35</v>
      </c>
      <c r="D4" s="16" t="s">
        <v>35</v>
      </c>
      <c r="E4" s="15" t="s">
        <v>61</v>
      </c>
      <c r="F4" s="25" t="s">
        <v>93</v>
      </c>
      <c r="G4" s="15" t="s">
        <v>94</v>
      </c>
      <c r="H4" s="16" t="s">
        <v>95</v>
      </c>
      <c r="I4" s="16" t="s">
        <v>96</v>
      </c>
      <c r="J4" s="16" t="s">
        <v>97</v>
      </c>
      <c r="K4" s="17" t="n">
        <v>28000</v>
      </c>
      <c r="L4" s="17" t="n">
        <v>30000</v>
      </c>
      <c r="M4" s="17" t="n">
        <f aca="false">L4-K4</f>
        <v>2000</v>
      </c>
      <c r="N4" s="19" t="n">
        <f aca="false">IF(K4=0,"",M4/K4)</f>
        <v>0.0714285714285714</v>
      </c>
      <c r="O4" s="16" t="str">
        <f aca="false">IF(K4=0,"neu",IF(L4=0,"entfallen",IF(M4&gt;0,"erhöht",IF(M4&lt;0,"reduziert","unverändert"))))</f>
        <v>erhöht</v>
      </c>
      <c r="P4" s="15" t="str">
        <f aca="false">IF(C4="","erstmals in FY27",IF(D4="","nur in FY26",IF(C4=D4,"",IF(D4=IFERROR(INDEX('Cost Center'!$C$7:$C$9,MATCH(C4,'Cost Center'!$A$7:$A$9,0)),""),"Reorg-Überführung "&amp;C4&amp;" -&gt; "&amp;D4,"abweichende Verlagerung "&amp;C4&amp;" -&gt; "&amp;D4))))</f>
        <v/>
      </c>
      <c r="Q4" s="2"/>
    </row>
    <row r="5" customFormat="false" ht="15" hidden="false" customHeight="false" outlineLevel="0" collapsed="false">
      <c r="A5" s="13" t="s">
        <v>35</v>
      </c>
      <c r="B5" s="12" t="s">
        <v>36</v>
      </c>
      <c r="C5" s="13" t="s">
        <v>35</v>
      </c>
      <c r="D5" s="13" t="s">
        <v>35</v>
      </c>
      <c r="E5" s="12" t="s">
        <v>61</v>
      </c>
      <c r="F5" s="24" t="s">
        <v>98</v>
      </c>
      <c r="G5" s="12" t="s">
        <v>94</v>
      </c>
      <c r="H5" s="13" t="s">
        <v>95</v>
      </c>
      <c r="I5" s="13" t="s">
        <v>99</v>
      </c>
      <c r="J5" s="13" t="s">
        <v>100</v>
      </c>
      <c r="K5" s="14" t="n">
        <v>17000</v>
      </c>
      <c r="L5" s="14" t="n">
        <v>18000</v>
      </c>
      <c r="M5" s="14" t="n">
        <f aca="false">L5-K5</f>
        <v>1000</v>
      </c>
      <c r="N5" s="18" t="n">
        <f aca="false">IF(K5=0,"",M5/K5)</f>
        <v>0.0588235294117647</v>
      </c>
      <c r="O5" s="13" t="str">
        <f aca="false">IF(K5=0,"neu",IF(L5=0,"entfallen",IF(M5&gt;0,"erhöht",IF(M5&lt;0,"reduziert","unverändert"))))</f>
        <v>erhöht</v>
      </c>
      <c r="P5" s="12" t="str">
        <f aca="false">IF(C5="","erstmals in FY27",IF(D5="","nur in FY26",IF(C5=D5,"",IF(D5=IFERROR(INDEX('Cost Center'!$C$7:$C$9,MATCH(C5,'Cost Center'!$A$7:$A$9,0)),""),"Reorg-Überführung "&amp;C5&amp;" -&gt; "&amp;D5,"abweichende Verlagerung "&amp;C5&amp;" -&gt; "&amp;D5))))</f>
        <v/>
      </c>
      <c r="Q5" s="2"/>
    </row>
    <row r="6" customFormat="false" ht="15" hidden="false" customHeight="false" outlineLevel="0" collapsed="false">
      <c r="A6" s="16" t="s">
        <v>35</v>
      </c>
      <c r="B6" s="15" t="s">
        <v>36</v>
      </c>
      <c r="C6" s="16" t="s">
        <v>35</v>
      </c>
      <c r="D6" s="16" t="s">
        <v>35</v>
      </c>
      <c r="E6" s="15" t="s">
        <v>61</v>
      </c>
      <c r="F6" s="25" t="s">
        <v>101</v>
      </c>
      <c r="G6" s="15" t="s">
        <v>89</v>
      </c>
      <c r="H6" s="16" t="s">
        <v>90</v>
      </c>
      <c r="I6" s="16" t="s">
        <v>102</v>
      </c>
      <c r="J6" s="16" t="s">
        <v>103</v>
      </c>
      <c r="K6" s="17" t="n">
        <v>600000</v>
      </c>
      <c r="L6" s="17" t="n">
        <v>620000</v>
      </c>
      <c r="M6" s="17" t="n">
        <f aca="false">L6-K6</f>
        <v>20000</v>
      </c>
      <c r="N6" s="19" t="n">
        <f aca="false">IF(K6=0,"",M6/K6)</f>
        <v>0.0333333333333333</v>
      </c>
      <c r="O6" s="16" t="str">
        <f aca="false">IF(K6=0,"neu",IF(L6=0,"entfallen",IF(M6&gt;0,"erhöht",IF(M6&lt;0,"reduziert","unverändert"))))</f>
        <v>erhöht</v>
      </c>
      <c r="P6" s="15" t="str">
        <f aca="false">IF(C6="","erstmals in FY27",IF(D6="","nur in FY26",IF(C6=D6,"",IF(D6=IFERROR(INDEX('Cost Center'!$C$7:$C$9,MATCH(C6,'Cost Center'!$A$7:$A$9,0)),""),"Reorg-Überführung "&amp;C6&amp;" -&gt; "&amp;D6,"abweichende Verlagerung "&amp;C6&amp;" -&gt; "&amp;D6))))</f>
        <v/>
      </c>
      <c r="Q6" s="2"/>
    </row>
    <row r="7" customFormat="false" ht="15" hidden="false" customHeight="false" outlineLevel="0" collapsed="false">
      <c r="A7" s="13" t="s">
        <v>35</v>
      </c>
      <c r="B7" s="12" t="s">
        <v>36</v>
      </c>
      <c r="C7" s="13" t="s">
        <v>35</v>
      </c>
      <c r="D7" s="13" t="s">
        <v>35</v>
      </c>
      <c r="E7" s="12" t="s">
        <v>61</v>
      </c>
      <c r="F7" s="24" t="s">
        <v>104</v>
      </c>
      <c r="G7" s="12" t="s">
        <v>89</v>
      </c>
      <c r="H7" s="13" t="s">
        <v>90</v>
      </c>
      <c r="I7" s="13" t="s">
        <v>105</v>
      </c>
      <c r="J7" s="13" t="s">
        <v>106</v>
      </c>
      <c r="K7" s="14" t="n">
        <v>93000</v>
      </c>
      <c r="L7" s="14" t="n">
        <v>115000</v>
      </c>
      <c r="M7" s="14" t="n">
        <f aca="false">L7-K7</f>
        <v>22000</v>
      </c>
      <c r="N7" s="18" t="n">
        <f aca="false">IF(K7=0,"",M7/K7)</f>
        <v>0.236559139784946</v>
      </c>
      <c r="O7" s="13" t="str">
        <f aca="false">IF(K7=0,"neu",IF(L7=0,"entfallen",IF(M7&gt;0,"erhöht",IF(M7&lt;0,"reduziert","unverändert"))))</f>
        <v>erhöht</v>
      </c>
      <c r="P7" s="12" t="str">
        <f aca="false">IF(C7="","erstmals in FY27",IF(D7="","nur in FY26",IF(C7=D7,"",IF(D7=IFERROR(INDEX('Cost Center'!$C$7:$C$9,MATCH(C7,'Cost Center'!$A$7:$A$9,0)),""),"Reorg-Überführung "&amp;C7&amp;" -&gt; "&amp;D7,"abweichende Verlagerung "&amp;C7&amp;" -&gt; "&amp;D7))))</f>
        <v/>
      </c>
      <c r="Q7" s="2"/>
    </row>
    <row r="8" customFormat="false" ht="15" hidden="false" customHeight="false" outlineLevel="0" collapsed="false">
      <c r="A8" s="16" t="s">
        <v>35</v>
      </c>
      <c r="B8" s="15" t="s">
        <v>36</v>
      </c>
      <c r="C8" s="16" t="s">
        <v>35</v>
      </c>
      <c r="D8" s="16" t="s">
        <v>35</v>
      </c>
      <c r="E8" s="15" t="s">
        <v>61</v>
      </c>
      <c r="F8" s="25" t="s">
        <v>107</v>
      </c>
      <c r="G8" s="15" t="s">
        <v>108</v>
      </c>
      <c r="H8" s="16" t="s">
        <v>109</v>
      </c>
      <c r="I8" s="16" t="s">
        <v>110</v>
      </c>
      <c r="J8" s="16" t="s">
        <v>111</v>
      </c>
      <c r="K8" s="17" t="n">
        <v>300000</v>
      </c>
      <c r="L8" s="17" t="n">
        <v>300000</v>
      </c>
      <c r="M8" s="17" t="n">
        <f aca="false">L8-K8</f>
        <v>0</v>
      </c>
      <c r="N8" s="19" t="n">
        <f aca="false">IF(K8=0,"",M8/K8)</f>
        <v>0</v>
      </c>
      <c r="O8" s="16" t="str">
        <f aca="false">IF(K8=0,"neu",IF(L8=0,"entfallen",IF(M8&gt;0,"erhöht",IF(M8&lt;0,"reduziert","unverändert"))))</f>
        <v>unverändert</v>
      </c>
      <c r="P8" s="15" t="str">
        <f aca="false">IF(C8="","erstmals in FY27",IF(D8="","nur in FY26",IF(C8=D8,"",IF(D8=IFERROR(INDEX('Cost Center'!$C$7:$C$9,MATCH(C8,'Cost Center'!$A$7:$A$9,0)),""),"Reorg-Überführung "&amp;C8&amp;" -&gt; "&amp;D8,"abweichende Verlagerung "&amp;C8&amp;" -&gt; "&amp;D8))))</f>
        <v/>
      </c>
      <c r="Q8" s="2"/>
    </row>
    <row r="9" customFormat="false" ht="15" hidden="false" customHeight="false" outlineLevel="0" collapsed="false">
      <c r="A9" s="13" t="s">
        <v>35</v>
      </c>
      <c r="B9" s="12" t="s">
        <v>36</v>
      </c>
      <c r="C9" s="13" t="s">
        <v>33</v>
      </c>
      <c r="D9" s="13"/>
      <c r="E9" s="12" t="s">
        <v>65</v>
      </c>
      <c r="F9" s="24" t="s">
        <v>112</v>
      </c>
      <c r="G9" s="12" t="s">
        <v>113</v>
      </c>
      <c r="H9" s="13" t="s">
        <v>114</v>
      </c>
      <c r="I9" s="13" t="s">
        <v>115</v>
      </c>
      <c r="J9" s="13"/>
      <c r="K9" s="14" t="n">
        <v>50000</v>
      </c>
      <c r="L9" s="14" t="n">
        <v>0</v>
      </c>
      <c r="M9" s="14" t="n">
        <f aca="false">L9-K9</f>
        <v>-50000</v>
      </c>
      <c r="N9" s="18" t="n">
        <f aca="false">IF(K9=0,"",M9/K9)</f>
        <v>-1</v>
      </c>
      <c r="O9" s="13" t="str">
        <f aca="false">IF(K9=0,"neu",IF(L9=0,"entfallen",IF(M9&gt;0,"erhöht",IF(M9&lt;0,"reduziert","unverändert"))))</f>
        <v>entfallen</v>
      </c>
      <c r="P9" s="12" t="str">
        <f aca="false">IF(C9="","erstmals in FY27",IF(D9="","nur in FY26",IF(C9=D9,"",IF(D9=IFERROR(INDEX('Cost Center'!$C$7:$C$9,MATCH(C9,'Cost Center'!$A$7:$A$9,0)),""),"Reorg-Überführung "&amp;C9&amp;" -&gt; "&amp;D9,"abweichende Verlagerung "&amp;C9&amp;" -&gt; "&amp;D9))))</f>
        <v>nur in FY26</v>
      </c>
      <c r="Q9" s="2"/>
    </row>
    <row r="10" customFormat="false" ht="15" hidden="false" customHeight="false" outlineLevel="0" collapsed="false">
      <c r="A10" s="16" t="s">
        <v>35</v>
      </c>
      <c r="B10" s="15" t="s">
        <v>36</v>
      </c>
      <c r="C10" s="16" t="s">
        <v>33</v>
      </c>
      <c r="D10" s="16"/>
      <c r="E10" s="15" t="s">
        <v>65</v>
      </c>
      <c r="F10" s="25" t="s">
        <v>116</v>
      </c>
      <c r="G10" s="15" t="s">
        <v>117</v>
      </c>
      <c r="H10" s="16" t="s">
        <v>118</v>
      </c>
      <c r="I10" s="16" t="s">
        <v>119</v>
      </c>
      <c r="J10" s="16"/>
      <c r="K10" s="17" t="n">
        <v>85000</v>
      </c>
      <c r="L10" s="17" t="n">
        <v>0</v>
      </c>
      <c r="M10" s="17" t="n">
        <f aca="false">L10-K10</f>
        <v>-85000</v>
      </c>
      <c r="N10" s="19" t="n">
        <f aca="false">IF(K10=0,"",M10/K10)</f>
        <v>-1</v>
      </c>
      <c r="O10" s="16" t="str">
        <f aca="false">IF(K10=0,"neu",IF(L10=0,"entfallen",IF(M10&gt;0,"erhöht",IF(M10&lt;0,"reduziert","unverändert"))))</f>
        <v>entfallen</v>
      </c>
      <c r="P10" s="15" t="str">
        <f aca="false">IF(C10="","erstmals in FY27",IF(D10="","nur in FY26",IF(C10=D10,"",IF(D10=IFERROR(INDEX('Cost Center'!$C$7:$C$9,MATCH(C10,'Cost Center'!$A$7:$A$9,0)),""),"Reorg-Überführung "&amp;C10&amp;" -&gt; "&amp;D10,"abweichende Verlagerung "&amp;C10&amp;" -&gt; "&amp;D10))))</f>
        <v>nur in FY26</v>
      </c>
      <c r="Q10" s="2"/>
    </row>
    <row r="11" customFormat="false" ht="15" hidden="false" customHeight="false" outlineLevel="0" collapsed="false">
      <c r="A11" s="13" t="s">
        <v>35</v>
      </c>
      <c r="B11" s="12" t="s">
        <v>36</v>
      </c>
      <c r="C11" s="13" t="s">
        <v>33</v>
      </c>
      <c r="D11" s="13" t="s">
        <v>35</v>
      </c>
      <c r="E11" s="12" t="s">
        <v>65</v>
      </c>
      <c r="F11" s="24" t="s">
        <v>120</v>
      </c>
      <c r="G11" s="12" t="s">
        <v>121</v>
      </c>
      <c r="H11" s="13" t="s">
        <v>122</v>
      </c>
      <c r="I11" s="13" t="s">
        <v>123</v>
      </c>
      <c r="J11" s="13" t="s">
        <v>124</v>
      </c>
      <c r="K11" s="14" t="n">
        <v>725000</v>
      </c>
      <c r="L11" s="14" t="n">
        <v>1100000</v>
      </c>
      <c r="M11" s="14" t="n">
        <f aca="false">L11-K11</f>
        <v>375000</v>
      </c>
      <c r="N11" s="18" t="n">
        <f aca="false">IF(K11=0,"",M11/K11)</f>
        <v>0.517241379310345</v>
      </c>
      <c r="O11" s="13" t="str">
        <f aca="false">IF(K11=0,"neu",IF(L11=0,"entfallen",IF(M11&gt;0,"erhöht",IF(M11&lt;0,"reduziert","unverändert"))))</f>
        <v>erhöht</v>
      </c>
      <c r="P11" s="12" t="str">
        <f aca="false">IF(C11="","erstmals in FY27",IF(D11="","nur in FY26",IF(C11=D11,"",IF(D11=IFERROR(INDEX('Cost Center'!$C$7:$C$9,MATCH(C11,'Cost Center'!$A$7:$A$9,0)),""),"Reorg-Überführung "&amp;C11&amp;" -&gt; "&amp;D11,"abweichende Verlagerung "&amp;C11&amp;" -&gt; "&amp;D11))))</f>
        <v>Reorg-Überführung DE2060202 -&gt; DE2060204</v>
      </c>
      <c r="Q11" s="2"/>
    </row>
    <row r="12" customFormat="false" ht="15" hidden="false" customHeight="false" outlineLevel="0" collapsed="false">
      <c r="A12" s="16" t="s">
        <v>35</v>
      </c>
      <c r="B12" s="15" t="s">
        <v>36</v>
      </c>
      <c r="C12" s="16"/>
      <c r="D12" s="16" t="s">
        <v>35</v>
      </c>
      <c r="E12" s="15" t="s">
        <v>65</v>
      </c>
      <c r="F12" s="25" t="s">
        <v>125</v>
      </c>
      <c r="G12" s="15" t="s">
        <v>121</v>
      </c>
      <c r="H12" s="16" t="s">
        <v>122</v>
      </c>
      <c r="I12" s="16"/>
      <c r="J12" s="16" t="s">
        <v>126</v>
      </c>
      <c r="K12" s="17" t="n">
        <v>0</v>
      </c>
      <c r="L12" s="17" t="n">
        <v>400000</v>
      </c>
      <c r="M12" s="17" t="n">
        <f aca="false">L12-K12</f>
        <v>400000</v>
      </c>
      <c r="N12" s="19" t="str">
        <f aca="false">IF(K12=0,"",M12/K12)</f>
        <v/>
      </c>
      <c r="O12" s="16" t="str">
        <f aca="false">IF(K12=0,"neu",IF(L12=0,"entfallen",IF(M12&gt;0,"erhöht",IF(M12&lt;0,"reduziert","unverändert"))))</f>
        <v>neu</v>
      </c>
      <c r="P12" s="15" t="str">
        <f aca="false">IF(C12="","erstmals in FY27",IF(D12="","nur in FY26",IF(C12=D12,"",IF(D12=IFERROR(INDEX('Cost Center'!$C$7:$C$9,MATCH(C12,'Cost Center'!$A$7:$A$9,0)),""),"Reorg-Überführung "&amp;C12&amp;" -&gt; "&amp;D12,"abweichende Verlagerung "&amp;C12&amp;" -&gt; "&amp;D12))))</f>
        <v>erstmals in FY27</v>
      </c>
      <c r="Q12" s="2"/>
    </row>
    <row r="13" customFormat="false" ht="15" hidden="false" customHeight="false" outlineLevel="0" collapsed="false">
      <c r="A13" s="13" t="s">
        <v>35</v>
      </c>
      <c r="B13" s="12" t="s">
        <v>36</v>
      </c>
      <c r="C13" s="13" t="s">
        <v>33</v>
      </c>
      <c r="D13" s="13"/>
      <c r="E13" s="12" t="s">
        <v>65</v>
      </c>
      <c r="F13" s="24" t="s">
        <v>127</v>
      </c>
      <c r="G13" s="12" t="s">
        <v>121</v>
      </c>
      <c r="H13" s="13" t="s">
        <v>122</v>
      </c>
      <c r="I13" s="13" t="s">
        <v>128</v>
      </c>
      <c r="J13" s="13"/>
      <c r="K13" s="14" t="n">
        <v>85000</v>
      </c>
      <c r="L13" s="14" t="n">
        <v>0</v>
      </c>
      <c r="M13" s="14" t="n">
        <f aca="false">L13-K13</f>
        <v>-85000</v>
      </c>
      <c r="N13" s="18" t="n">
        <f aca="false">IF(K13=0,"",M13/K13)</f>
        <v>-1</v>
      </c>
      <c r="O13" s="13" t="str">
        <f aca="false">IF(K13=0,"neu",IF(L13=0,"entfallen",IF(M13&gt;0,"erhöht",IF(M13&lt;0,"reduziert","unverändert"))))</f>
        <v>entfallen</v>
      </c>
      <c r="P13" s="12" t="str">
        <f aca="false">IF(C13="","erstmals in FY27",IF(D13="","nur in FY26",IF(C13=D13,"",IF(D13=IFERROR(INDEX('Cost Center'!$C$7:$C$9,MATCH(C13,'Cost Center'!$A$7:$A$9,0)),""),"Reorg-Überführung "&amp;C13&amp;" -&gt; "&amp;D13,"abweichende Verlagerung "&amp;C13&amp;" -&gt; "&amp;D13))))</f>
        <v>nur in FY26</v>
      </c>
      <c r="Q13" s="2"/>
    </row>
    <row r="14" customFormat="false" ht="15" hidden="false" customHeight="false" outlineLevel="0" collapsed="false">
      <c r="A14" s="16" t="s">
        <v>35</v>
      </c>
      <c r="B14" s="15" t="s">
        <v>36</v>
      </c>
      <c r="C14" s="16"/>
      <c r="D14" s="16" t="s">
        <v>35</v>
      </c>
      <c r="E14" s="15" t="s">
        <v>65</v>
      </c>
      <c r="F14" s="25" t="s">
        <v>129</v>
      </c>
      <c r="G14" s="15" t="s">
        <v>113</v>
      </c>
      <c r="H14" s="16" t="s">
        <v>114</v>
      </c>
      <c r="I14" s="16"/>
      <c r="J14" s="16" t="s">
        <v>130</v>
      </c>
      <c r="K14" s="17" t="n">
        <v>0</v>
      </c>
      <c r="L14" s="17" t="n">
        <v>140000</v>
      </c>
      <c r="M14" s="17" t="n">
        <f aca="false">L14-K14</f>
        <v>140000</v>
      </c>
      <c r="N14" s="19" t="str">
        <f aca="false">IF(K14=0,"",M14/K14)</f>
        <v/>
      </c>
      <c r="O14" s="16" t="str">
        <f aca="false">IF(K14=0,"neu",IF(L14=0,"entfallen",IF(M14&gt;0,"erhöht",IF(M14&lt;0,"reduziert","unverändert"))))</f>
        <v>neu</v>
      </c>
      <c r="P14" s="15" t="str">
        <f aca="false">IF(C14="","erstmals in FY27",IF(D14="","nur in FY26",IF(C14=D14,"",IF(D14=IFERROR(INDEX('Cost Center'!$C$7:$C$9,MATCH(C14,'Cost Center'!$A$7:$A$9,0)),""),"Reorg-Überführung "&amp;C14&amp;" -&gt; "&amp;D14,"abweichende Verlagerung "&amp;C14&amp;" -&gt; "&amp;D14))))</f>
        <v>erstmals in FY27</v>
      </c>
      <c r="Q14" s="2"/>
    </row>
    <row r="15" customFormat="false" ht="15" hidden="false" customHeight="false" outlineLevel="0" collapsed="false">
      <c r="A15" s="13" t="s">
        <v>35</v>
      </c>
      <c r="B15" s="12" t="s">
        <v>36</v>
      </c>
      <c r="C15" s="13"/>
      <c r="D15" s="13" t="s">
        <v>35</v>
      </c>
      <c r="E15" s="12" t="s">
        <v>65</v>
      </c>
      <c r="F15" s="24" t="s">
        <v>131</v>
      </c>
      <c r="G15" s="12" t="s">
        <v>117</v>
      </c>
      <c r="H15" s="13" t="s">
        <v>118</v>
      </c>
      <c r="I15" s="13"/>
      <c r="J15" s="13" t="s">
        <v>132</v>
      </c>
      <c r="K15" s="14" t="n">
        <v>0</v>
      </c>
      <c r="L15" s="14" t="n">
        <v>120000</v>
      </c>
      <c r="M15" s="14" t="n">
        <f aca="false">L15-K15</f>
        <v>120000</v>
      </c>
      <c r="N15" s="18" t="str">
        <f aca="false">IF(K15=0,"",M15/K15)</f>
        <v/>
      </c>
      <c r="O15" s="13" t="str">
        <f aca="false">IF(K15=0,"neu",IF(L15=0,"entfallen",IF(M15&gt;0,"erhöht",IF(M15&lt;0,"reduziert","unverändert"))))</f>
        <v>neu</v>
      </c>
      <c r="P15" s="12" t="str">
        <f aca="false">IF(C15="","erstmals in FY27",IF(D15="","nur in FY26",IF(C15=D15,"",IF(D15=IFERROR(INDEX('Cost Center'!$C$7:$C$9,MATCH(C15,'Cost Center'!$A$7:$A$9,0)),""),"Reorg-Überführung "&amp;C15&amp;" -&gt; "&amp;D15,"abweichende Verlagerung "&amp;C15&amp;" -&gt; "&amp;D15))))</f>
        <v>erstmals in FY27</v>
      </c>
      <c r="Q15" s="2"/>
    </row>
    <row r="16" customFormat="false" ht="15" hidden="false" customHeight="false" outlineLevel="0" collapsed="false">
      <c r="A16" s="16" t="s">
        <v>35</v>
      </c>
      <c r="B16" s="15" t="s">
        <v>36</v>
      </c>
      <c r="C16" s="16"/>
      <c r="D16" s="16" t="s">
        <v>35</v>
      </c>
      <c r="E16" s="15" t="s">
        <v>65</v>
      </c>
      <c r="F16" s="25" t="s">
        <v>133</v>
      </c>
      <c r="G16" s="15" t="s">
        <v>121</v>
      </c>
      <c r="H16" s="16" t="s">
        <v>122</v>
      </c>
      <c r="I16" s="16"/>
      <c r="J16" s="16" t="s">
        <v>134</v>
      </c>
      <c r="K16" s="17" t="n">
        <v>0</v>
      </c>
      <c r="L16" s="17" t="n">
        <v>50000</v>
      </c>
      <c r="M16" s="17" t="n">
        <f aca="false">L16-K16</f>
        <v>50000</v>
      </c>
      <c r="N16" s="19" t="str">
        <f aca="false">IF(K16=0,"",M16/K16)</f>
        <v/>
      </c>
      <c r="O16" s="16" t="str">
        <f aca="false">IF(K16=0,"neu",IF(L16=0,"entfallen",IF(M16&gt;0,"erhöht",IF(M16&lt;0,"reduziert","unverändert"))))</f>
        <v>neu</v>
      </c>
      <c r="P16" s="15" t="str">
        <f aca="false">IF(C16="","erstmals in FY27",IF(D16="","nur in FY26",IF(C16=D16,"",IF(D16=IFERROR(INDEX('Cost Center'!$C$7:$C$9,MATCH(C16,'Cost Center'!$A$7:$A$9,0)),""),"Reorg-Überführung "&amp;C16&amp;" -&gt; "&amp;D16,"abweichende Verlagerung "&amp;C16&amp;" -&gt; "&amp;D16))))</f>
        <v>erstmals in FY27</v>
      </c>
      <c r="Q16" s="2"/>
    </row>
    <row r="17" customFormat="false" ht="15" hidden="false" customHeight="false" outlineLevel="0" collapsed="false">
      <c r="A17" s="13" t="s">
        <v>35</v>
      </c>
      <c r="B17" s="12" t="s">
        <v>36</v>
      </c>
      <c r="C17" s="13"/>
      <c r="D17" s="13" t="s">
        <v>35</v>
      </c>
      <c r="E17" s="12" t="s">
        <v>65</v>
      </c>
      <c r="F17" s="24" t="s">
        <v>135</v>
      </c>
      <c r="G17" s="12" t="s">
        <v>113</v>
      </c>
      <c r="H17" s="13" t="s">
        <v>114</v>
      </c>
      <c r="I17" s="13"/>
      <c r="J17" s="13" t="s">
        <v>136</v>
      </c>
      <c r="K17" s="14" t="n">
        <v>0</v>
      </c>
      <c r="L17" s="14" t="n">
        <v>800000</v>
      </c>
      <c r="M17" s="14" t="n">
        <f aca="false">L17-K17</f>
        <v>800000</v>
      </c>
      <c r="N17" s="18" t="str">
        <f aca="false">IF(K17=0,"",M17/K17)</f>
        <v/>
      </c>
      <c r="O17" s="13" t="str">
        <f aca="false">IF(K17=0,"neu",IF(L17=0,"entfallen",IF(M17&gt;0,"erhöht",IF(M17&lt;0,"reduziert","unverändert"))))</f>
        <v>neu</v>
      </c>
      <c r="P17" s="12" t="str">
        <f aca="false">IF(C17="","erstmals in FY27",IF(D17="","nur in FY26",IF(C17=D17,"",IF(D17=IFERROR(INDEX('Cost Center'!$C$7:$C$9,MATCH(C17,'Cost Center'!$A$7:$A$9,0)),""),"Reorg-Überführung "&amp;C17&amp;" -&gt; "&amp;D17,"abweichende Verlagerung "&amp;C17&amp;" -&gt; "&amp;D17))))</f>
        <v>erstmals in FY27</v>
      </c>
      <c r="Q17" s="2"/>
    </row>
    <row r="18" customFormat="false" ht="15" hidden="false" customHeight="false" outlineLevel="0" collapsed="false">
      <c r="A18" s="16" t="s">
        <v>35</v>
      </c>
      <c r="B18" s="15" t="s">
        <v>36</v>
      </c>
      <c r="C18" s="16" t="s">
        <v>33</v>
      </c>
      <c r="D18" s="16" t="s">
        <v>35</v>
      </c>
      <c r="E18" s="15" t="s">
        <v>65</v>
      </c>
      <c r="F18" s="25" t="s">
        <v>137</v>
      </c>
      <c r="G18" s="15" t="s">
        <v>121</v>
      </c>
      <c r="H18" s="16" t="s">
        <v>122</v>
      </c>
      <c r="I18" s="16" t="s">
        <v>138</v>
      </c>
      <c r="J18" s="16" t="s">
        <v>139</v>
      </c>
      <c r="K18" s="17" t="n">
        <v>110000</v>
      </c>
      <c r="L18" s="17" t="n">
        <v>200000</v>
      </c>
      <c r="M18" s="17" t="n">
        <f aca="false">L18-K18</f>
        <v>90000</v>
      </c>
      <c r="N18" s="19" t="n">
        <f aca="false">IF(K18=0,"",M18/K18)</f>
        <v>0.818181818181818</v>
      </c>
      <c r="O18" s="16" t="str">
        <f aca="false">IF(K18=0,"neu",IF(L18=0,"entfallen",IF(M18&gt;0,"erhöht",IF(M18&lt;0,"reduziert","unverändert"))))</f>
        <v>erhöht</v>
      </c>
      <c r="P18" s="15" t="str">
        <f aca="false">IF(C18="","erstmals in FY27",IF(D18="","nur in FY26",IF(C18=D18,"",IF(D18=IFERROR(INDEX('Cost Center'!$C$7:$C$9,MATCH(C18,'Cost Center'!$A$7:$A$9,0)),""),"Reorg-Überführung "&amp;C18&amp;" -&gt; "&amp;D18,"abweichende Verlagerung "&amp;C18&amp;" -&gt; "&amp;D18))))</f>
        <v>Reorg-Überführung DE2060202 -&gt; DE2060204</v>
      </c>
      <c r="Q18" s="2"/>
    </row>
    <row r="19" customFormat="false" ht="15" hidden="false" customHeight="false" outlineLevel="0" collapsed="false">
      <c r="A19" s="13" t="s">
        <v>35</v>
      </c>
      <c r="B19" s="12" t="s">
        <v>36</v>
      </c>
      <c r="C19" s="13" t="s">
        <v>35</v>
      </c>
      <c r="D19" s="13" t="s">
        <v>35</v>
      </c>
      <c r="E19" s="12" t="s">
        <v>68</v>
      </c>
      <c r="F19" s="24" t="s">
        <v>140</v>
      </c>
      <c r="G19" s="12" t="s">
        <v>121</v>
      </c>
      <c r="H19" s="13" t="s">
        <v>122</v>
      </c>
      <c r="I19" s="13" t="s">
        <v>141</v>
      </c>
      <c r="J19" s="13" t="s">
        <v>142</v>
      </c>
      <c r="K19" s="14" t="n">
        <v>25000</v>
      </c>
      <c r="L19" s="14" t="n">
        <v>25600</v>
      </c>
      <c r="M19" s="14" t="n">
        <f aca="false">L19-K19</f>
        <v>600</v>
      </c>
      <c r="N19" s="18" t="n">
        <f aca="false">IF(K19=0,"",M19/K19)</f>
        <v>0.024</v>
      </c>
      <c r="O19" s="13" t="str">
        <f aca="false">IF(K19=0,"neu",IF(L19=0,"entfallen",IF(M19&gt;0,"erhöht",IF(M19&lt;0,"reduziert","unverändert"))))</f>
        <v>erhöht</v>
      </c>
      <c r="P19" s="12" t="str">
        <f aca="false">IF(C19="","erstmals in FY27",IF(D19="","nur in FY26",IF(C19=D19,"",IF(D19=IFERROR(INDEX('Cost Center'!$C$7:$C$9,MATCH(C19,'Cost Center'!$A$7:$A$9,0)),""),"Reorg-Überführung "&amp;C19&amp;" -&gt; "&amp;D19,"abweichende Verlagerung "&amp;C19&amp;" -&gt; "&amp;D19))))</f>
        <v/>
      </c>
      <c r="Q19" s="2"/>
    </row>
    <row r="20" customFormat="false" ht="15" hidden="false" customHeight="false" outlineLevel="0" collapsed="false">
      <c r="A20" s="16" t="s">
        <v>35</v>
      </c>
      <c r="B20" s="15" t="s">
        <v>36</v>
      </c>
      <c r="C20" s="16" t="s">
        <v>35</v>
      </c>
      <c r="D20" s="16"/>
      <c r="E20" s="15" t="s">
        <v>68</v>
      </c>
      <c r="F20" s="25" t="s">
        <v>143</v>
      </c>
      <c r="G20" s="15" t="s">
        <v>89</v>
      </c>
      <c r="H20" s="16" t="s">
        <v>90</v>
      </c>
      <c r="I20" s="16" t="s">
        <v>144</v>
      </c>
      <c r="J20" s="16"/>
      <c r="K20" s="17" t="n">
        <v>12000</v>
      </c>
      <c r="L20" s="17" t="n">
        <v>0</v>
      </c>
      <c r="M20" s="17" t="n">
        <f aca="false">L20-K20</f>
        <v>-12000</v>
      </c>
      <c r="N20" s="19" t="n">
        <f aca="false">IF(K20=0,"",M20/K20)</f>
        <v>-1</v>
      </c>
      <c r="O20" s="16" t="str">
        <f aca="false">IF(K20=0,"neu",IF(L20=0,"entfallen",IF(M20&gt;0,"erhöht",IF(M20&lt;0,"reduziert","unverändert"))))</f>
        <v>entfallen</v>
      </c>
      <c r="P20" s="15" t="str">
        <f aca="false">IF(C20="","erstmals in FY27",IF(D20="","nur in FY26",IF(C20=D20,"",IF(D20=IFERROR(INDEX('Cost Center'!$C$7:$C$9,MATCH(C20,'Cost Center'!$A$7:$A$9,0)),""),"Reorg-Überführung "&amp;C20&amp;" -&gt; "&amp;D20,"abweichende Verlagerung "&amp;C20&amp;" -&gt; "&amp;D20))))</f>
        <v>nur in FY26</v>
      </c>
      <c r="Q20" s="2"/>
    </row>
    <row r="21" customFormat="false" ht="15" hidden="false" customHeight="false" outlineLevel="0" collapsed="false">
      <c r="A21" s="13" t="s">
        <v>35</v>
      </c>
      <c r="B21" s="12" t="s">
        <v>36</v>
      </c>
      <c r="C21" s="13"/>
      <c r="D21" s="13" t="s">
        <v>35</v>
      </c>
      <c r="E21" s="12" t="s">
        <v>68</v>
      </c>
      <c r="F21" s="24" t="s">
        <v>145</v>
      </c>
      <c r="G21" s="12" t="s">
        <v>121</v>
      </c>
      <c r="H21" s="13" t="s">
        <v>122</v>
      </c>
      <c r="I21" s="13"/>
      <c r="J21" s="13" t="s">
        <v>146</v>
      </c>
      <c r="K21" s="14" t="n">
        <v>0</v>
      </c>
      <c r="L21" s="14" t="n">
        <v>25000</v>
      </c>
      <c r="M21" s="14" t="n">
        <f aca="false">L21-K21</f>
        <v>25000</v>
      </c>
      <c r="N21" s="18" t="str">
        <f aca="false">IF(K21=0,"",M21/K21)</f>
        <v/>
      </c>
      <c r="O21" s="13" t="str">
        <f aca="false">IF(K21=0,"neu",IF(L21=0,"entfallen",IF(M21&gt;0,"erhöht",IF(M21&lt;0,"reduziert","unverändert"))))</f>
        <v>neu</v>
      </c>
      <c r="P21" s="12" t="str">
        <f aca="false">IF(C21="","erstmals in FY27",IF(D21="","nur in FY26",IF(C21=D21,"",IF(D21=IFERROR(INDEX('Cost Center'!$C$7:$C$9,MATCH(C21,'Cost Center'!$A$7:$A$9,0)),""),"Reorg-Überführung "&amp;C21&amp;" -&gt; "&amp;D21,"abweichende Verlagerung "&amp;C21&amp;" -&gt; "&amp;D21))))</f>
        <v>erstmals in FY27</v>
      </c>
      <c r="Q21" s="2"/>
    </row>
    <row r="22" customFormat="false" ht="15" hidden="false" customHeight="false" outlineLevel="0" collapsed="false">
      <c r="A22" s="16" t="s">
        <v>35</v>
      </c>
      <c r="B22" s="15" t="s">
        <v>36</v>
      </c>
      <c r="C22" s="16" t="s">
        <v>35</v>
      </c>
      <c r="D22" s="16" t="s">
        <v>35</v>
      </c>
      <c r="E22" s="15" t="s">
        <v>68</v>
      </c>
      <c r="F22" s="25" t="s">
        <v>147</v>
      </c>
      <c r="G22" s="15" t="s">
        <v>148</v>
      </c>
      <c r="H22" s="16" t="s">
        <v>149</v>
      </c>
      <c r="I22" s="16" t="s">
        <v>150</v>
      </c>
      <c r="J22" s="16" t="s">
        <v>151</v>
      </c>
      <c r="K22" s="17" t="n">
        <v>35000</v>
      </c>
      <c r="L22" s="17" t="n">
        <v>35000</v>
      </c>
      <c r="M22" s="17" t="n">
        <f aca="false">L22-K22</f>
        <v>0</v>
      </c>
      <c r="N22" s="19" t="n">
        <f aca="false">IF(K22=0,"",M22/K22)</f>
        <v>0</v>
      </c>
      <c r="O22" s="16" t="str">
        <f aca="false">IF(K22=0,"neu",IF(L22=0,"entfallen",IF(M22&gt;0,"erhöht",IF(M22&lt;0,"reduziert","unverändert"))))</f>
        <v>unverändert</v>
      </c>
      <c r="P22" s="15" t="str">
        <f aca="false">IF(C22="","erstmals in FY27",IF(D22="","nur in FY26",IF(C22=D22,"",IF(D22=IFERROR(INDEX('Cost Center'!$C$7:$C$9,MATCH(C22,'Cost Center'!$A$7:$A$9,0)),""),"Reorg-Überführung "&amp;C22&amp;" -&gt; "&amp;D22,"abweichende Verlagerung "&amp;C22&amp;" -&gt; "&amp;D22))))</f>
        <v/>
      </c>
      <c r="Q22" s="2"/>
    </row>
    <row r="23" customFormat="false" ht="15" hidden="false" customHeight="false" outlineLevel="0" collapsed="false">
      <c r="A23" s="13" t="s">
        <v>35</v>
      </c>
      <c r="B23" s="12" t="s">
        <v>36</v>
      </c>
      <c r="C23" s="13" t="s">
        <v>35</v>
      </c>
      <c r="D23" s="13" t="s">
        <v>35</v>
      </c>
      <c r="E23" s="12" t="s">
        <v>68</v>
      </c>
      <c r="F23" s="24" t="s">
        <v>152</v>
      </c>
      <c r="G23" s="12" t="s">
        <v>148</v>
      </c>
      <c r="H23" s="13" t="s">
        <v>149</v>
      </c>
      <c r="I23" s="13" t="s">
        <v>153</v>
      </c>
      <c r="J23" s="13" t="s">
        <v>154</v>
      </c>
      <c r="K23" s="14" t="n">
        <v>50000</v>
      </c>
      <c r="L23" s="14" t="n">
        <v>60000</v>
      </c>
      <c r="M23" s="14" t="n">
        <f aca="false">L23-K23</f>
        <v>10000</v>
      </c>
      <c r="N23" s="18" t="n">
        <f aca="false">IF(K23=0,"",M23/K23)</f>
        <v>0.2</v>
      </c>
      <c r="O23" s="13" t="str">
        <f aca="false">IF(K23=0,"neu",IF(L23=0,"entfallen",IF(M23&gt;0,"erhöht",IF(M23&lt;0,"reduziert","unverändert"))))</f>
        <v>erhöht</v>
      </c>
      <c r="P23" s="12" t="str">
        <f aca="false">IF(C23="","erstmals in FY27",IF(D23="","nur in FY26",IF(C23=D23,"",IF(D23=IFERROR(INDEX('Cost Center'!$C$7:$C$9,MATCH(C23,'Cost Center'!$A$7:$A$9,0)),""),"Reorg-Überführung "&amp;C23&amp;" -&gt; "&amp;D23,"abweichende Verlagerung "&amp;C23&amp;" -&gt; "&amp;D23))))</f>
        <v/>
      </c>
      <c r="Q23" s="2"/>
    </row>
    <row r="24" customFormat="false" ht="15" hidden="false" customHeight="false" outlineLevel="0" collapsed="false">
      <c r="A24" s="16" t="s">
        <v>35</v>
      </c>
      <c r="B24" s="15" t="s">
        <v>36</v>
      </c>
      <c r="C24" s="16" t="s">
        <v>35</v>
      </c>
      <c r="D24" s="16" t="s">
        <v>35</v>
      </c>
      <c r="E24" s="15" t="s">
        <v>68</v>
      </c>
      <c r="F24" s="25" t="s">
        <v>155</v>
      </c>
      <c r="G24" s="15" t="s">
        <v>89</v>
      </c>
      <c r="H24" s="16" t="s">
        <v>90</v>
      </c>
      <c r="I24" s="16" t="s">
        <v>156</v>
      </c>
      <c r="J24" s="16" t="s">
        <v>157</v>
      </c>
      <c r="K24" s="17" t="n">
        <v>9000</v>
      </c>
      <c r="L24" s="17" t="n">
        <v>9000</v>
      </c>
      <c r="M24" s="17" t="n">
        <f aca="false">L24-K24</f>
        <v>0</v>
      </c>
      <c r="N24" s="19" t="n">
        <f aca="false">IF(K24=0,"",M24/K24)</f>
        <v>0</v>
      </c>
      <c r="O24" s="16" t="str">
        <f aca="false">IF(K24=0,"neu",IF(L24=0,"entfallen",IF(M24&gt;0,"erhöht",IF(M24&lt;0,"reduziert","unverändert"))))</f>
        <v>unverändert</v>
      </c>
      <c r="P24" s="15" t="str">
        <f aca="false">IF(C24="","erstmals in FY27",IF(D24="","nur in FY26",IF(C24=D24,"",IF(D24=IFERROR(INDEX('Cost Center'!$C$7:$C$9,MATCH(C24,'Cost Center'!$A$7:$A$9,0)),""),"Reorg-Überführung "&amp;C24&amp;" -&gt; "&amp;D24,"abweichende Verlagerung "&amp;C24&amp;" -&gt; "&amp;D24))))</f>
        <v/>
      </c>
      <c r="Q24" s="2"/>
    </row>
    <row r="25" customFormat="false" ht="15" hidden="false" customHeight="false" outlineLevel="0" collapsed="false">
      <c r="A25" s="13" t="s">
        <v>35</v>
      </c>
      <c r="B25" s="12" t="s">
        <v>36</v>
      </c>
      <c r="C25" s="13" t="s">
        <v>35</v>
      </c>
      <c r="D25" s="13" t="s">
        <v>35</v>
      </c>
      <c r="E25" s="12" t="s">
        <v>69</v>
      </c>
      <c r="F25" s="24" t="s">
        <v>158</v>
      </c>
      <c r="G25" s="12" t="s">
        <v>117</v>
      </c>
      <c r="H25" s="13" t="s">
        <v>118</v>
      </c>
      <c r="I25" s="13" t="s">
        <v>159</v>
      </c>
      <c r="J25" s="13" t="s">
        <v>160</v>
      </c>
      <c r="K25" s="14" t="n">
        <v>223200</v>
      </c>
      <c r="L25" s="14" t="n">
        <v>223200</v>
      </c>
      <c r="M25" s="14" t="n">
        <f aca="false">L25-K25</f>
        <v>0</v>
      </c>
      <c r="N25" s="18" t="n">
        <f aca="false">IF(K25=0,"",M25/K25)</f>
        <v>0</v>
      </c>
      <c r="O25" s="13" t="str">
        <f aca="false">IF(K25=0,"neu",IF(L25=0,"entfallen",IF(M25&gt;0,"erhöht",IF(M25&lt;0,"reduziert","unverändert"))))</f>
        <v>unverändert</v>
      </c>
      <c r="P25" s="12" t="str">
        <f aca="false">IF(C25="","erstmals in FY27",IF(D25="","nur in FY26",IF(C25=D25,"",IF(D25=IFERROR(INDEX('Cost Center'!$C$7:$C$9,MATCH(C25,'Cost Center'!$A$7:$A$9,0)),""),"Reorg-Überführung "&amp;C25&amp;" -&gt; "&amp;D25,"abweichende Verlagerung "&amp;C25&amp;" -&gt; "&amp;D25))))</f>
        <v/>
      </c>
      <c r="Q25" s="2"/>
    </row>
    <row r="26" customFormat="false" ht="15" hidden="false" customHeight="false" outlineLevel="0" collapsed="false">
      <c r="A26" s="16" t="s">
        <v>35</v>
      </c>
      <c r="B26" s="15" t="s">
        <v>36</v>
      </c>
      <c r="C26" s="16" t="s">
        <v>35</v>
      </c>
      <c r="D26" s="16" t="s">
        <v>35</v>
      </c>
      <c r="E26" s="15" t="s">
        <v>69</v>
      </c>
      <c r="F26" s="25" t="s">
        <v>161</v>
      </c>
      <c r="G26" s="15" t="s">
        <v>113</v>
      </c>
      <c r="H26" s="16" t="s">
        <v>114</v>
      </c>
      <c r="I26" s="16" t="s">
        <v>162</v>
      </c>
      <c r="J26" s="16" t="s">
        <v>163</v>
      </c>
      <c r="K26" s="17" t="n">
        <v>105000</v>
      </c>
      <c r="L26" s="17" t="n">
        <v>93000</v>
      </c>
      <c r="M26" s="17" t="n">
        <f aca="false">L26-K26</f>
        <v>-12000</v>
      </c>
      <c r="N26" s="19" t="n">
        <f aca="false">IF(K26=0,"",M26/K26)</f>
        <v>-0.114285714285714</v>
      </c>
      <c r="O26" s="16" t="str">
        <f aca="false">IF(K26=0,"neu",IF(L26=0,"entfallen",IF(M26&gt;0,"erhöht",IF(M26&lt;0,"reduziert","unverändert"))))</f>
        <v>reduziert</v>
      </c>
      <c r="P26" s="15" t="str">
        <f aca="false">IF(C26="","erstmals in FY27",IF(D26="","nur in FY26",IF(C26=D26,"",IF(D26=IFERROR(INDEX('Cost Center'!$C$7:$C$9,MATCH(C26,'Cost Center'!$A$7:$A$9,0)),""),"Reorg-Überführung "&amp;C26&amp;" -&gt; "&amp;D26,"abweichende Verlagerung "&amp;C26&amp;" -&gt; "&amp;D26))))</f>
        <v/>
      </c>
      <c r="Q26" s="2"/>
    </row>
    <row r="27" customFormat="false" ht="15" hidden="false" customHeight="false" outlineLevel="0" collapsed="false">
      <c r="A27" s="13" t="s">
        <v>35</v>
      </c>
      <c r="B27" s="12" t="s">
        <v>36</v>
      </c>
      <c r="C27" s="13" t="s">
        <v>35</v>
      </c>
      <c r="D27" s="13" t="s">
        <v>35</v>
      </c>
      <c r="E27" s="12" t="s">
        <v>69</v>
      </c>
      <c r="F27" s="24" t="s">
        <v>164</v>
      </c>
      <c r="G27" s="12" t="s">
        <v>113</v>
      </c>
      <c r="H27" s="13" t="s">
        <v>114</v>
      </c>
      <c r="I27" s="13" t="s">
        <v>165</v>
      </c>
      <c r="J27" s="13" t="s">
        <v>166</v>
      </c>
      <c r="K27" s="14" t="n">
        <v>138000</v>
      </c>
      <c r="L27" s="14" t="n">
        <v>142200</v>
      </c>
      <c r="M27" s="14" t="n">
        <f aca="false">L27-K27</f>
        <v>4200</v>
      </c>
      <c r="N27" s="18" t="n">
        <f aca="false">IF(K27=0,"",M27/K27)</f>
        <v>0.0304347826086957</v>
      </c>
      <c r="O27" s="13" t="str">
        <f aca="false">IF(K27=0,"neu",IF(L27=0,"entfallen",IF(M27&gt;0,"erhöht",IF(M27&lt;0,"reduziert","unverändert"))))</f>
        <v>erhöht</v>
      </c>
      <c r="P27" s="12" t="str">
        <f aca="false">IF(C27="","erstmals in FY27",IF(D27="","nur in FY26",IF(C27=D27,"",IF(D27=IFERROR(INDEX('Cost Center'!$C$7:$C$9,MATCH(C27,'Cost Center'!$A$7:$A$9,0)),""),"Reorg-Überführung "&amp;C27&amp;" -&gt; "&amp;D27,"abweichende Verlagerung "&amp;C27&amp;" -&gt; "&amp;D27))))</f>
        <v/>
      </c>
      <c r="Q27" s="2"/>
    </row>
    <row r="28" customFormat="false" ht="15" hidden="false" customHeight="false" outlineLevel="0" collapsed="false">
      <c r="A28" s="16" t="s">
        <v>35</v>
      </c>
      <c r="B28" s="15" t="s">
        <v>36</v>
      </c>
      <c r="C28" s="16" t="s">
        <v>35</v>
      </c>
      <c r="D28" s="16"/>
      <c r="E28" s="15" t="s">
        <v>70</v>
      </c>
      <c r="F28" s="25" t="s">
        <v>167</v>
      </c>
      <c r="G28" s="15" t="s">
        <v>117</v>
      </c>
      <c r="H28" s="16" t="s">
        <v>118</v>
      </c>
      <c r="I28" s="16" t="s">
        <v>168</v>
      </c>
      <c r="J28" s="16"/>
      <c r="K28" s="17" t="n">
        <v>5500</v>
      </c>
      <c r="L28" s="17" t="n">
        <v>0</v>
      </c>
      <c r="M28" s="17" t="n">
        <f aca="false">L28-K28</f>
        <v>-5500</v>
      </c>
      <c r="N28" s="19" t="n">
        <f aca="false">IF(K28=0,"",M28/K28)</f>
        <v>-1</v>
      </c>
      <c r="O28" s="16" t="str">
        <f aca="false">IF(K28=0,"neu",IF(L28=0,"entfallen",IF(M28&gt;0,"erhöht",IF(M28&lt;0,"reduziert","unverändert"))))</f>
        <v>entfallen</v>
      </c>
      <c r="P28" s="15" t="str">
        <f aca="false">IF(C28="","erstmals in FY27",IF(D28="","nur in FY26",IF(C28=D28,"",IF(D28=IFERROR(INDEX('Cost Center'!$C$7:$C$9,MATCH(C28,'Cost Center'!$A$7:$A$9,0)),""),"Reorg-Überführung "&amp;C28&amp;" -&gt; "&amp;D28,"abweichende Verlagerung "&amp;C28&amp;" -&gt; "&amp;D28))))</f>
        <v>nur in FY26</v>
      </c>
      <c r="Q28" s="2"/>
    </row>
    <row r="29" customFormat="false" ht="15" hidden="false" customHeight="false" outlineLevel="0" collapsed="false">
      <c r="A29" s="13" t="s">
        <v>35</v>
      </c>
      <c r="B29" s="12" t="s">
        <v>36</v>
      </c>
      <c r="C29" s="13" t="s">
        <v>35</v>
      </c>
      <c r="D29" s="13" t="s">
        <v>35</v>
      </c>
      <c r="E29" s="12" t="s">
        <v>70</v>
      </c>
      <c r="F29" s="24" t="s">
        <v>169</v>
      </c>
      <c r="G29" s="12" t="s">
        <v>117</v>
      </c>
      <c r="H29" s="13" t="s">
        <v>118</v>
      </c>
      <c r="I29" s="13" t="s">
        <v>170</v>
      </c>
      <c r="J29" s="13" t="s">
        <v>171</v>
      </c>
      <c r="K29" s="14" t="n">
        <v>50000</v>
      </c>
      <c r="L29" s="14" t="n">
        <v>50000</v>
      </c>
      <c r="M29" s="14" t="n">
        <f aca="false">L29-K29</f>
        <v>0</v>
      </c>
      <c r="N29" s="18" t="n">
        <f aca="false">IF(K29=0,"",M29/K29)</f>
        <v>0</v>
      </c>
      <c r="O29" s="13" t="str">
        <f aca="false">IF(K29=0,"neu",IF(L29=0,"entfallen",IF(M29&gt;0,"erhöht",IF(M29&lt;0,"reduziert","unverändert"))))</f>
        <v>unverändert</v>
      </c>
      <c r="P29" s="12" t="str">
        <f aca="false">IF(C29="","erstmals in FY27",IF(D29="","nur in FY26",IF(C29=D29,"",IF(D29=IFERROR(INDEX('Cost Center'!$C$7:$C$9,MATCH(C29,'Cost Center'!$A$7:$A$9,0)),""),"Reorg-Überführung "&amp;C29&amp;" -&gt; "&amp;D29,"abweichende Verlagerung "&amp;C29&amp;" -&gt; "&amp;D29))))</f>
        <v/>
      </c>
      <c r="Q29" s="2"/>
    </row>
    <row r="30" customFormat="false" ht="15" hidden="false" customHeight="false" outlineLevel="0" collapsed="false">
      <c r="A30" s="16" t="s">
        <v>35</v>
      </c>
      <c r="B30" s="15" t="s">
        <v>36</v>
      </c>
      <c r="C30" s="16" t="s">
        <v>35</v>
      </c>
      <c r="D30" s="16" t="s">
        <v>35</v>
      </c>
      <c r="E30" s="15" t="s">
        <v>70</v>
      </c>
      <c r="F30" s="25" t="s">
        <v>172</v>
      </c>
      <c r="G30" s="15" t="s">
        <v>89</v>
      </c>
      <c r="H30" s="16" t="s">
        <v>90</v>
      </c>
      <c r="I30" s="16" t="s">
        <v>173</v>
      </c>
      <c r="J30" s="16" t="s">
        <v>174</v>
      </c>
      <c r="K30" s="17" t="n">
        <v>20000</v>
      </c>
      <c r="L30" s="17" t="n">
        <v>20000</v>
      </c>
      <c r="M30" s="17" t="n">
        <f aca="false">L30-K30</f>
        <v>0</v>
      </c>
      <c r="N30" s="19" t="n">
        <f aca="false">IF(K30=0,"",M30/K30)</f>
        <v>0</v>
      </c>
      <c r="O30" s="16" t="str">
        <f aca="false">IF(K30=0,"neu",IF(L30=0,"entfallen",IF(M30&gt;0,"erhöht",IF(M30&lt;0,"reduziert","unverändert"))))</f>
        <v>unverändert</v>
      </c>
      <c r="P30" s="15" t="str">
        <f aca="false">IF(C30="","erstmals in FY27",IF(D30="","nur in FY26",IF(C30=D30,"",IF(D30=IFERROR(INDEX('Cost Center'!$C$7:$C$9,MATCH(C30,'Cost Center'!$A$7:$A$9,0)),""),"Reorg-Überführung "&amp;C30&amp;" -&gt; "&amp;D30,"abweichende Verlagerung "&amp;C30&amp;" -&gt; "&amp;D30))))</f>
        <v/>
      </c>
      <c r="Q30" s="2"/>
    </row>
    <row r="31" customFormat="false" ht="15" hidden="false" customHeight="false" outlineLevel="0" collapsed="false">
      <c r="A31" s="13" t="s">
        <v>40</v>
      </c>
      <c r="B31" s="12" t="s">
        <v>41</v>
      </c>
      <c r="C31" s="13" t="s">
        <v>38</v>
      </c>
      <c r="D31" s="13" t="s">
        <v>40</v>
      </c>
      <c r="E31" s="12" t="s">
        <v>61</v>
      </c>
      <c r="F31" s="24" t="s">
        <v>175</v>
      </c>
      <c r="G31" s="12" t="s">
        <v>94</v>
      </c>
      <c r="H31" s="13" t="s">
        <v>95</v>
      </c>
      <c r="I31" s="13" t="s">
        <v>176</v>
      </c>
      <c r="J31" s="13" t="s">
        <v>177</v>
      </c>
      <c r="K31" s="14" t="n">
        <v>10000</v>
      </c>
      <c r="L31" s="14" t="n">
        <v>17500</v>
      </c>
      <c r="M31" s="14" t="n">
        <f aca="false">L31-K31</f>
        <v>7500</v>
      </c>
      <c r="N31" s="18" t="n">
        <f aca="false">IF(K31=0,"",M31/K31)</f>
        <v>0.75</v>
      </c>
      <c r="O31" s="13" t="str">
        <f aca="false">IF(K31=0,"neu",IF(L31=0,"entfallen",IF(M31&gt;0,"erhöht",IF(M31&lt;0,"reduziert","unverändert"))))</f>
        <v>erhöht</v>
      </c>
      <c r="P31" s="12" t="str">
        <f aca="false">IF(C31="","erstmals in FY27",IF(D31="","nur in FY26",IF(C31=D31,"",IF(D31=IFERROR(INDEX('Cost Center'!$C$7:$C$9,MATCH(C31,'Cost Center'!$A$7:$A$9,0)),""),"Reorg-Überführung "&amp;C31&amp;" -&gt; "&amp;D31,"abweichende Verlagerung "&amp;C31&amp;" -&gt; "&amp;D31))))</f>
        <v>Reorg-Überführung DE2060203 -&gt; DE206210</v>
      </c>
      <c r="Q31" s="2"/>
    </row>
    <row r="32" customFormat="false" ht="15" hidden="false" customHeight="false" outlineLevel="0" collapsed="false">
      <c r="A32" s="16" t="s">
        <v>40</v>
      </c>
      <c r="B32" s="15" t="s">
        <v>41</v>
      </c>
      <c r="C32" s="16" t="s">
        <v>38</v>
      </c>
      <c r="D32" s="16" t="s">
        <v>40</v>
      </c>
      <c r="E32" s="15" t="s">
        <v>61</v>
      </c>
      <c r="F32" s="25" t="s">
        <v>178</v>
      </c>
      <c r="G32" s="15" t="s">
        <v>179</v>
      </c>
      <c r="H32" s="16" t="s">
        <v>180</v>
      </c>
      <c r="I32" s="16" t="s">
        <v>181</v>
      </c>
      <c r="J32" s="16" t="s">
        <v>182</v>
      </c>
      <c r="K32" s="17" t="n">
        <v>5000</v>
      </c>
      <c r="L32" s="17" t="n">
        <v>5000</v>
      </c>
      <c r="M32" s="17" t="n">
        <f aca="false">L32-K32</f>
        <v>0</v>
      </c>
      <c r="N32" s="19" t="n">
        <f aca="false">IF(K32=0,"",M32/K32)</f>
        <v>0</v>
      </c>
      <c r="O32" s="16" t="str">
        <f aca="false">IF(K32=0,"neu",IF(L32=0,"entfallen",IF(M32&gt;0,"erhöht",IF(M32&lt;0,"reduziert","unverändert"))))</f>
        <v>unverändert</v>
      </c>
      <c r="P32" s="15" t="str">
        <f aca="false">IF(C32="","erstmals in FY27",IF(D32="","nur in FY26",IF(C32=D32,"",IF(D32=IFERROR(INDEX('Cost Center'!$C$7:$C$9,MATCH(C32,'Cost Center'!$A$7:$A$9,0)),""),"Reorg-Überführung "&amp;C32&amp;" -&gt; "&amp;D32,"abweichende Verlagerung "&amp;C32&amp;" -&gt; "&amp;D32))))</f>
        <v>Reorg-Überführung DE2060203 -&gt; DE206210</v>
      </c>
      <c r="Q32" s="2"/>
    </row>
    <row r="33" customFormat="false" ht="15" hidden="false" customHeight="false" outlineLevel="0" collapsed="false">
      <c r="A33" s="13" t="s">
        <v>40</v>
      </c>
      <c r="B33" s="12" t="s">
        <v>41</v>
      </c>
      <c r="C33" s="13" t="s">
        <v>38</v>
      </c>
      <c r="D33" s="13" t="s">
        <v>40</v>
      </c>
      <c r="E33" s="12" t="s">
        <v>62</v>
      </c>
      <c r="F33" s="24" t="s">
        <v>183</v>
      </c>
      <c r="G33" s="12" t="s">
        <v>121</v>
      </c>
      <c r="H33" s="13" t="s">
        <v>122</v>
      </c>
      <c r="I33" s="13" t="s">
        <v>184</v>
      </c>
      <c r="J33" s="13" t="s">
        <v>185</v>
      </c>
      <c r="K33" s="14" t="n">
        <v>31100</v>
      </c>
      <c r="L33" s="14" t="n">
        <v>31100</v>
      </c>
      <c r="M33" s="14" t="n">
        <f aca="false">L33-K33</f>
        <v>0</v>
      </c>
      <c r="N33" s="18" t="n">
        <f aca="false">IF(K33=0,"",M33/K33)</f>
        <v>0</v>
      </c>
      <c r="O33" s="13" t="str">
        <f aca="false">IF(K33=0,"neu",IF(L33=0,"entfallen",IF(M33&gt;0,"erhöht",IF(M33&lt;0,"reduziert","unverändert"))))</f>
        <v>unverändert</v>
      </c>
      <c r="P33" s="12" t="str">
        <f aca="false">IF(C33="","erstmals in FY27",IF(D33="","nur in FY26",IF(C33=D33,"",IF(D33=IFERROR(INDEX('Cost Center'!$C$7:$C$9,MATCH(C33,'Cost Center'!$A$7:$A$9,0)),""),"Reorg-Überführung "&amp;C33&amp;" -&gt; "&amp;D33,"abweichende Verlagerung "&amp;C33&amp;" -&gt; "&amp;D33))))</f>
        <v>Reorg-Überführung DE2060203 -&gt; DE206210</v>
      </c>
      <c r="Q33" s="2"/>
    </row>
    <row r="34" customFormat="false" ht="15" hidden="false" customHeight="false" outlineLevel="0" collapsed="false">
      <c r="A34" s="16" t="s">
        <v>40</v>
      </c>
      <c r="B34" s="15" t="s">
        <v>41</v>
      </c>
      <c r="C34" s="16" t="s">
        <v>38</v>
      </c>
      <c r="D34" s="16" t="s">
        <v>40</v>
      </c>
      <c r="E34" s="15" t="s">
        <v>62</v>
      </c>
      <c r="F34" s="25" t="s">
        <v>186</v>
      </c>
      <c r="G34" s="15" t="s">
        <v>121</v>
      </c>
      <c r="H34" s="16" t="s">
        <v>122</v>
      </c>
      <c r="I34" s="16" t="s">
        <v>187</v>
      </c>
      <c r="J34" s="16" t="s">
        <v>188</v>
      </c>
      <c r="K34" s="17" t="n">
        <v>28000</v>
      </c>
      <c r="L34" s="17" t="n">
        <v>26200</v>
      </c>
      <c r="M34" s="17" t="n">
        <f aca="false">L34-K34</f>
        <v>-1800</v>
      </c>
      <c r="N34" s="19" t="n">
        <f aca="false">IF(K34=0,"",M34/K34)</f>
        <v>-0.0642857142857143</v>
      </c>
      <c r="O34" s="16" t="str">
        <f aca="false">IF(K34=0,"neu",IF(L34=0,"entfallen",IF(M34&gt;0,"erhöht",IF(M34&lt;0,"reduziert","unverändert"))))</f>
        <v>reduziert</v>
      </c>
      <c r="P34" s="15" t="str">
        <f aca="false">IF(C34="","erstmals in FY27",IF(D34="","nur in FY26",IF(C34=D34,"",IF(D34=IFERROR(INDEX('Cost Center'!$C$7:$C$9,MATCH(C34,'Cost Center'!$A$7:$A$9,0)),""),"Reorg-Überführung "&amp;C34&amp;" -&gt; "&amp;D34,"abweichende Verlagerung "&amp;C34&amp;" -&gt; "&amp;D34))))</f>
        <v>Reorg-Überführung DE2060203 -&gt; DE206210</v>
      </c>
      <c r="Q34" s="2"/>
    </row>
    <row r="35" customFormat="false" ht="15" hidden="false" customHeight="false" outlineLevel="0" collapsed="false">
      <c r="A35" s="13" t="s">
        <v>40</v>
      </c>
      <c r="B35" s="12" t="s">
        <v>41</v>
      </c>
      <c r="C35" s="13" t="s">
        <v>38</v>
      </c>
      <c r="D35" s="13" t="s">
        <v>40</v>
      </c>
      <c r="E35" s="12" t="s">
        <v>62</v>
      </c>
      <c r="F35" s="24" t="s">
        <v>189</v>
      </c>
      <c r="G35" s="12" t="s">
        <v>113</v>
      </c>
      <c r="H35" s="13" t="s">
        <v>114</v>
      </c>
      <c r="I35" s="13" t="s">
        <v>190</v>
      </c>
      <c r="J35" s="13" t="s">
        <v>191</v>
      </c>
      <c r="K35" s="14" t="n">
        <v>75000</v>
      </c>
      <c r="L35" s="14" t="n">
        <v>70000</v>
      </c>
      <c r="M35" s="14" t="n">
        <f aca="false">L35-K35</f>
        <v>-5000</v>
      </c>
      <c r="N35" s="18" t="n">
        <f aca="false">IF(K35=0,"",M35/K35)</f>
        <v>-0.0666666666666667</v>
      </c>
      <c r="O35" s="13" t="str">
        <f aca="false">IF(K35=0,"neu",IF(L35=0,"entfallen",IF(M35&gt;0,"erhöht",IF(M35&lt;0,"reduziert","unverändert"))))</f>
        <v>reduziert</v>
      </c>
      <c r="P35" s="12" t="str">
        <f aca="false">IF(C35="","erstmals in FY27",IF(D35="","nur in FY26",IF(C35=D35,"",IF(D35=IFERROR(INDEX('Cost Center'!$C$7:$C$9,MATCH(C35,'Cost Center'!$A$7:$A$9,0)),""),"Reorg-Überführung "&amp;C35&amp;" -&gt; "&amp;D35,"abweichende Verlagerung "&amp;C35&amp;" -&gt; "&amp;D35))))</f>
        <v>Reorg-Überführung DE2060203 -&gt; DE206210</v>
      </c>
      <c r="Q35" s="2"/>
    </row>
    <row r="36" customFormat="false" ht="15" hidden="false" customHeight="false" outlineLevel="0" collapsed="false">
      <c r="A36" s="16" t="s">
        <v>40</v>
      </c>
      <c r="B36" s="15" t="s">
        <v>41</v>
      </c>
      <c r="C36" s="16" t="s">
        <v>38</v>
      </c>
      <c r="D36" s="16" t="s">
        <v>40</v>
      </c>
      <c r="E36" s="15" t="s">
        <v>62</v>
      </c>
      <c r="F36" s="25" t="s">
        <v>192</v>
      </c>
      <c r="G36" s="15" t="s">
        <v>113</v>
      </c>
      <c r="H36" s="16" t="s">
        <v>114</v>
      </c>
      <c r="I36" s="16" t="s">
        <v>193</v>
      </c>
      <c r="J36" s="16" t="s">
        <v>194</v>
      </c>
      <c r="K36" s="17" t="n">
        <v>20000</v>
      </c>
      <c r="L36" s="17" t="n">
        <v>20000</v>
      </c>
      <c r="M36" s="17" t="n">
        <f aca="false">L36-K36</f>
        <v>0</v>
      </c>
      <c r="N36" s="19" t="n">
        <f aca="false">IF(K36=0,"",M36/K36)</f>
        <v>0</v>
      </c>
      <c r="O36" s="16" t="str">
        <f aca="false">IF(K36=0,"neu",IF(L36=0,"entfallen",IF(M36&gt;0,"erhöht",IF(M36&lt;0,"reduziert","unverändert"))))</f>
        <v>unverändert</v>
      </c>
      <c r="P36" s="15" t="str">
        <f aca="false">IF(C36="","erstmals in FY27",IF(D36="","nur in FY26",IF(C36=D36,"",IF(D36=IFERROR(INDEX('Cost Center'!$C$7:$C$9,MATCH(C36,'Cost Center'!$A$7:$A$9,0)),""),"Reorg-Überführung "&amp;C36&amp;" -&gt; "&amp;D36,"abweichende Verlagerung "&amp;C36&amp;" -&gt; "&amp;D36))))</f>
        <v>Reorg-Überführung DE2060203 -&gt; DE206210</v>
      </c>
      <c r="Q36" s="2"/>
    </row>
    <row r="37" customFormat="false" ht="15" hidden="false" customHeight="false" outlineLevel="0" collapsed="false">
      <c r="A37" s="13" t="s">
        <v>40</v>
      </c>
      <c r="B37" s="12" t="s">
        <v>41</v>
      </c>
      <c r="C37" s="13" t="s">
        <v>38</v>
      </c>
      <c r="D37" s="13" t="s">
        <v>40</v>
      </c>
      <c r="E37" s="12" t="s">
        <v>62</v>
      </c>
      <c r="F37" s="24" t="s">
        <v>195</v>
      </c>
      <c r="G37" s="12" t="s">
        <v>121</v>
      </c>
      <c r="H37" s="13" t="s">
        <v>122</v>
      </c>
      <c r="I37" s="13" t="s">
        <v>196</v>
      </c>
      <c r="J37" s="13" t="s">
        <v>197</v>
      </c>
      <c r="K37" s="14" t="n">
        <v>30000</v>
      </c>
      <c r="L37" s="14" t="n">
        <v>30000</v>
      </c>
      <c r="M37" s="14" t="n">
        <f aca="false">L37-K37</f>
        <v>0</v>
      </c>
      <c r="N37" s="18" t="n">
        <f aca="false">IF(K37=0,"",M37/K37)</f>
        <v>0</v>
      </c>
      <c r="O37" s="13" t="str">
        <f aca="false">IF(K37=0,"neu",IF(L37=0,"entfallen",IF(M37&gt;0,"erhöht",IF(M37&lt;0,"reduziert","unverändert"))))</f>
        <v>unverändert</v>
      </c>
      <c r="P37" s="12" t="str">
        <f aca="false">IF(C37="","erstmals in FY27",IF(D37="","nur in FY26",IF(C37=D37,"",IF(D37=IFERROR(INDEX('Cost Center'!$C$7:$C$9,MATCH(C37,'Cost Center'!$A$7:$A$9,0)),""),"Reorg-Überführung "&amp;C37&amp;" -&gt; "&amp;D37,"abweichende Verlagerung "&amp;C37&amp;" -&gt; "&amp;D37))))</f>
        <v>Reorg-Überführung DE2060203 -&gt; DE206210</v>
      </c>
      <c r="Q37" s="2"/>
    </row>
    <row r="38" customFormat="false" ht="15" hidden="false" customHeight="false" outlineLevel="0" collapsed="false">
      <c r="A38" s="16" t="s">
        <v>40</v>
      </c>
      <c r="B38" s="15" t="s">
        <v>41</v>
      </c>
      <c r="C38" s="16"/>
      <c r="D38" s="16" t="s">
        <v>40</v>
      </c>
      <c r="E38" s="15" t="s">
        <v>62</v>
      </c>
      <c r="F38" s="25" t="s">
        <v>198</v>
      </c>
      <c r="G38" s="15" t="s">
        <v>113</v>
      </c>
      <c r="H38" s="16" t="s">
        <v>114</v>
      </c>
      <c r="I38" s="16"/>
      <c r="J38" s="16" t="s">
        <v>199</v>
      </c>
      <c r="K38" s="17" t="n">
        <v>0</v>
      </c>
      <c r="L38" s="17" t="n">
        <v>60000</v>
      </c>
      <c r="M38" s="17" t="n">
        <f aca="false">L38-K38</f>
        <v>60000</v>
      </c>
      <c r="N38" s="19" t="str">
        <f aca="false">IF(K38=0,"",M38/K38)</f>
        <v/>
      </c>
      <c r="O38" s="16" t="str">
        <f aca="false">IF(K38=0,"neu",IF(L38=0,"entfallen",IF(M38&gt;0,"erhöht",IF(M38&lt;0,"reduziert","unverändert"))))</f>
        <v>neu</v>
      </c>
      <c r="P38" s="15" t="str">
        <f aca="false">IF(C38="","erstmals in FY27",IF(D38="","nur in FY26",IF(C38=D38,"",IF(D38=IFERROR(INDEX('Cost Center'!$C$7:$C$9,MATCH(C38,'Cost Center'!$A$7:$A$9,0)),""),"Reorg-Überführung "&amp;C38&amp;" -&gt; "&amp;D38,"abweichende Verlagerung "&amp;C38&amp;" -&gt; "&amp;D38))))</f>
        <v>erstmals in FY27</v>
      </c>
      <c r="Q38" s="2"/>
    </row>
    <row r="39" customFormat="false" ht="15" hidden="false" customHeight="false" outlineLevel="0" collapsed="false">
      <c r="A39" s="13" t="s">
        <v>40</v>
      </c>
      <c r="B39" s="12" t="s">
        <v>41</v>
      </c>
      <c r="C39" s="13"/>
      <c r="D39" s="13" t="s">
        <v>40</v>
      </c>
      <c r="E39" s="12" t="s">
        <v>62</v>
      </c>
      <c r="F39" s="24" t="s">
        <v>200</v>
      </c>
      <c r="G39" s="12" t="s">
        <v>121</v>
      </c>
      <c r="H39" s="13" t="s">
        <v>122</v>
      </c>
      <c r="I39" s="13"/>
      <c r="J39" s="13" t="s">
        <v>201</v>
      </c>
      <c r="K39" s="14" t="n">
        <v>0</v>
      </c>
      <c r="L39" s="14" t="n">
        <v>20000</v>
      </c>
      <c r="M39" s="14" t="n">
        <f aca="false">L39-K39</f>
        <v>20000</v>
      </c>
      <c r="N39" s="18" t="str">
        <f aca="false">IF(K39=0,"",M39/K39)</f>
        <v/>
      </c>
      <c r="O39" s="13" t="str">
        <f aca="false">IF(K39=0,"neu",IF(L39=0,"entfallen",IF(M39&gt;0,"erhöht",IF(M39&lt;0,"reduziert","unverändert"))))</f>
        <v>neu</v>
      </c>
      <c r="P39" s="12" t="str">
        <f aca="false">IF(C39="","erstmals in FY27",IF(D39="","nur in FY26",IF(C39=D39,"",IF(D39=IFERROR(INDEX('Cost Center'!$C$7:$C$9,MATCH(C39,'Cost Center'!$A$7:$A$9,0)),""),"Reorg-Überführung "&amp;C39&amp;" -&gt; "&amp;D39,"abweichende Verlagerung "&amp;C39&amp;" -&gt; "&amp;D39))))</f>
        <v>erstmals in FY27</v>
      </c>
      <c r="Q39" s="2"/>
    </row>
    <row r="40" customFormat="false" ht="15" hidden="false" customHeight="false" outlineLevel="0" collapsed="false">
      <c r="A40" s="16" t="s">
        <v>40</v>
      </c>
      <c r="B40" s="15" t="s">
        <v>41</v>
      </c>
      <c r="C40" s="16" t="s">
        <v>38</v>
      </c>
      <c r="D40" s="16" t="s">
        <v>40</v>
      </c>
      <c r="E40" s="15" t="s">
        <v>62</v>
      </c>
      <c r="F40" s="25" t="s">
        <v>202</v>
      </c>
      <c r="G40" s="15" t="s">
        <v>121</v>
      </c>
      <c r="H40" s="16" t="s">
        <v>122</v>
      </c>
      <c r="I40" s="16" t="s">
        <v>203</v>
      </c>
      <c r="J40" s="16" t="s">
        <v>204</v>
      </c>
      <c r="K40" s="17" t="n">
        <v>93000</v>
      </c>
      <c r="L40" s="17" t="n">
        <v>88500</v>
      </c>
      <c r="M40" s="17" t="n">
        <f aca="false">L40-K40</f>
        <v>-4500</v>
      </c>
      <c r="N40" s="19" t="n">
        <f aca="false">IF(K40=0,"",M40/K40)</f>
        <v>-0.0483870967741936</v>
      </c>
      <c r="O40" s="16" t="str">
        <f aca="false">IF(K40=0,"neu",IF(L40=0,"entfallen",IF(M40&gt;0,"erhöht",IF(M40&lt;0,"reduziert","unverändert"))))</f>
        <v>reduziert</v>
      </c>
      <c r="P40" s="15" t="str">
        <f aca="false">IF(C40="","erstmals in FY27",IF(D40="","nur in FY26",IF(C40=D40,"",IF(D40=IFERROR(INDEX('Cost Center'!$C$7:$C$9,MATCH(C40,'Cost Center'!$A$7:$A$9,0)),""),"Reorg-Überführung "&amp;C40&amp;" -&gt; "&amp;D40,"abweichende Verlagerung "&amp;C40&amp;" -&gt; "&amp;D40))))</f>
        <v>Reorg-Überführung DE2060203 -&gt; DE206210</v>
      </c>
      <c r="Q40" s="2"/>
    </row>
    <row r="41" customFormat="false" ht="15" hidden="false" customHeight="false" outlineLevel="0" collapsed="false">
      <c r="A41" s="13" t="s">
        <v>40</v>
      </c>
      <c r="B41" s="12" t="s">
        <v>41</v>
      </c>
      <c r="C41" s="13"/>
      <c r="D41" s="13" t="s">
        <v>40</v>
      </c>
      <c r="E41" s="12" t="s">
        <v>62</v>
      </c>
      <c r="F41" s="24" t="s">
        <v>205</v>
      </c>
      <c r="G41" s="12" t="s">
        <v>148</v>
      </c>
      <c r="H41" s="13" t="s">
        <v>149</v>
      </c>
      <c r="I41" s="13"/>
      <c r="J41" s="13" t="s">
        <v>206</v>
      </c>
      <c r="K41" s="14" t="n">
        <v>0</v>
      </c>
      <c r="L41" s="14" t="n">
        <v>1500</v>
      </c>
      <c r="M41" s="14" t="n">
        <f aca="false">L41-K41</f>
        <v>1500</v>
      </c>
      <c r="N41" s="18" t="str">
        <f aca="false">IF(K41=0,"",M41/K41)</f>
        <v/>
      </c>
      <c r="O41" s="13" t="str">
        <f aca="false">IF(K41=0,"neu",IF(L41=0,"entfallen",IF(M41&gt;0,"erhöht",IF(M41&lt;0,"reduziert","unverändert"))))</f>
        <v>neu</v>
      </c>
      <c r="P41" s="12" t="str">
        <f aca="false">IF(C41="","erstmals in FY27",IF(D41="","nur in FY26",IF(C41=D41,"",IF(D41=IFERROR(INDEX('Cost Center'!$C$7:$C$9,MATCH(C41,'Cost Center'!$A$7:$A$9,0)),""),"Reorg-Überführung "&amp;C41&amp;" -&gt; "&amp;D41,"abweichende Verlagerung "&amp;C41&amp;" -&gt; "&amp;D41))))</f>
        <v>erstmals in FY27</v>
      </c>
      <c r="Q41" s="2"/>
    </row>
    <row r="42" customFormat="false" ht="15" hidden="false" customHeight="false" outlineLevel="0" collapsed="false">
      <c r="A42" s="16" t="s">
        <v>40</v>
      </c>
      <c r="B42" s="15" t="s">
        <v>41</v>
      </c>
      <c r="C42" s="16" t="s">
        <v>38</v>
      </c>
      <c r="D42" s="16" t="s">
        <v>40</v>
      </c>
      <c r="E42" s="15" t="s">
        <v>63</v>
      </c>
      <c r="F42" s="25" t="s">
        <v>207</v>
      </c>
      <c r="G42" s="15" t="s">
        <v>113</v>
      </c>
      <c r="H42" s="16" t="s">
        <v>114</v>
      </c>
      <c r="I42" s="16" t="s">
        <v>208</v>
      </c>
      <c r="J42" s="16" t="s">
        <v>209</v>
      </c>
      <c r="K42" s="17" t="n">
        <v>5000</v>
      </c>
      <c r="L42" s="17" t="n">
        <v>5000</v>
      </c>
      <c r="M42" s="17" t="n">
        <f aca="false">L42-K42</f>
        <v>0</v>
      </c>
      <c r="N42" s="19" t="n">
        <f aca="false">IF(K42=0,"",M42/K42)</f>
        <v>0</v>
      </c>
      <c r="O42" s="16" t="str">
        <f aca="false">IF(K42=0,"neu",IF(L42=0,"entfallen",IF(M42&gt;0,"erhöht",IF(M42&lt;0,"reduziert","unverändert"))))</f>
        <v>unverändert</v>
      </c>
      <c r="P42" s="15" t="str">
        <f aca="false">IF(C42="","erstmals in FY27",IF(D42="","nur in FY26",IF(C42=D42,"",IF(D42=IFERROR(INDEX('Cost Center'!$C$7:$C$9,MATCH(C42,'Cost Center'!$A$7:$A$9,0)),""),"Reorg-Überführung "&amp;C42&amp;" -&gt; "&amp;D42,"abweichende Verlagerung "&amp;C42&amp;" -&gt; "&amp;D42))))</f>
        <v>Reorg-Überführung DE2060203 -&gt; DE206210</v>
      </c>
      <c r="Q42" s="2"/>
    </row>
    <row r="43" customFormat="false" ht="15" hidden="false" customHeight="false" outlineLevel="0" collapsed="false">
      <c r="A43" s="13" t="s">
        <v>40</v>
      </c>
      <c r="B43" s="12" t="s">
        <v>41</v>
      </c>
      <c r="C43" s="13" t="s">
        <v>38</v>
      </c>
      <c r="D43" s="13" t="s">
        <v>40</v>
      </c>
      <c r="E43" s="12" t="s">
        <v>63</v>
      </c>
      <c r="F43" s="24" t="s">
        <v>210</v>
      </c>
      <c r="G43" s="12" t="s">
        <v>148</v>
      </c>
      <c r="H43" s="13" t="s">
        <v>149</v>
      </c>
      <c r="I43" s="13" t="s">
        <v>211</v>
      </c>
      <c r="J43" s="13" t="s">
        <v>212</v>
      </c>
      <c r="K43" s="14" t="n">
        <v>3000</v>
      </c>
      <c r="L43" s="14" t="n">
        <v>3000</v>
      </c>
      <c r="M43" s="14" t="n">
        <f aca="false">L43-K43</f>
        <v>0</v>
      </c>
      <c r="N43" s="18" t="n">
        <f aca="false">IF(K43=0,"",M43/K43)</f>
        <v>0</v>
      </c>
      <c r="O43" s="13" t="str">
        <f aca="false">IF(K43=0,"neu",IF(L43=0,"entfallen",IF(M43&gt;0,"erhöht",IF(M43&lt;0,"reduziert","unverändert"))))</f>
        <v>unverändert</v>
      </c>
      <c r="P43" s="12" t="str">
        <f aca="false">IF(C43="","erstmals in FY27",IF(D43="","nur in FY26",IF(C43=D43,"",IF(D43=IFERROR(INDEX('Cost Center'!$C$7:$C$9,MATCH(C43,'Cost Center'!$A$7:$A$9,0)),""),"Reorg-Überführung "&amp;C43&amp;" -&gt; "&amp;D43,"abweichende Verlagerung "&amp;C43&amp;" -&gt; "&amp;D43))))</f>
        <v>Reorg-Überführung DE2060203 -&gt; DE206210</v>
      </c>
      <c r="Q43" s="2"/>
    </row>
    <row r="44" customFormat="false" ht="15" hidden="false" customHeight="false" outlineLevel="0" collapsed="false">
      <c r="A44" s="16" t="s">
        <v>40</v>
      </c>
      <c r="B44" s="15" t="s">
        <v>41</v>
      </c>
      <c r="C44" s="16" t="s">
        <v>38</v>
      </c>
      <c r="D44" s="16" t="s">
        <v>40</v>
      </c>
      <c r="E44" s="15" t="s">
        <v>64</v>
      </c>
      <c r="F44" s="25" t="s">
        <v>213</v>
      </c>
      <c r="G44" s="15" t="s">
        <v>121</v>
      </c>
      <c r="H44" s="16" t="s">
        <v>122</v>
      </c>
      <c r="I44" s="16" t="s">
        <v>214</v>
      </c>
      <c r="J44" s="16" t="s">
        <v>215</v>
      </c>
      <c r="K44" s="17" t="n">
        <v>24000</v>
      </c>
      <c r="L44" s="17" t="n">
        <v>24000</v>
      </c>
      <c r="M44" s="17" t="n">
        <f aca="false">L44-K44</f>
        <v>0</v>
      </c>
      <c r="N44" s="19" t="n">
        <f aca="false">IF(K44=0,"",M44/K44)</f>
        <v>0</v>
      </c>
      <c r="O44" s="16" t="str">
        <f aca="false">IF(K44=0,"neu",IF(L44=0,"entfallen",IF(M44&gt;0,"erhöht",IF(M44&lt;0,"reduziert","unverändert"))))</f>
        <v>unverändert</v>
      </c>
      <c r="P44" s="15" t="str">
        <f aca="false">IF(C44="","erstmals in FY27",IF(D44="","nur in FY26",IF(C44=D44,"",IF(D44=IFERROR(INDEX('Cost Center'!$C$7:$C$9,MATCH(C44,'Cost Center'!$A$7:$A$9,0)),""),"Reorg-Überführung "&amp;C44&amp;" -&gt; "&amp;D44,"abweichende Verlagerung "&amp;C44&amp;" -&gt; "&amp;D44))))</f>
        <v>Reorg-Überführung DE2060203 -&gt; DE206210</v>
      </c>
      <c r="Q44" s="2"/>
    </row>
    <row r="45" customFormat="false" ht="15" hidden="false" customHeight="false" outlineLevel="0" collapsed="false">
      <c r="A45" s="13" t="s">
        <v>40</v>
      </c>
      <c r="B45" s="12" t="s">
        <v>41</v>
      </c>
      <c r="C45" s="13" t="s">
        <v>38</v>
      </c>
      <c r="D45" s="13" t="s">
        <v>40</v>
      </c>
      <c r="E45" s="12" t="s">
        <v>64</v>
      </c>
      <c r="F45" s="24" t="s">
        <v>216</v>
      </c>
      <c r="G45" s="12" t="s">
        <v>121</v>
      </c>
      <c r="H45" s="13" t="s">
        <v>122</v>
      </c>
      <c r="I45" s="13" t="s">
        <v>217</v>
      </c>
      <c r="J45" s="13" t="s">
        <v>218</v>
      </c>
      <c r="K45" s="14" t="n">
        <v>30000</v>
      </c>
      <c r="L45" s="14" t="n">
        <v>27500</v>
      </c>
      <c r="M45" s="14" t="n">
        <f aca="false">L45-K45</f>
        <v>-2500</v>
      </c>
      <c r="N45" s="18" t="n">
        <f aca="false">IF(K45=0,"",M45/K45)</f>
        <v>-0.0833333333333333</v>
      </c>
      <c r="O45" s="13" t="str">
        <f aca="false">IF(K45=0,"neu",IF(L45=0,"entfallen",IF(M45&gt;0,"erhöht",IF(M45&lt;0,"reduziert","unverändert"))))</f>
        <v>reduziert</v>
      </c>
      <c r="P45" s="12" t="str">
        <f aca="false">IF(C45="","erstmals in FY27",IF(D45="","nur in FY26",IF(C45=D45,"",IF(D45=IFERROR(INDEX('Cost Center'!$C$7:$C$9,MATCH(C45,'Cost Center'!$A$7:$A$9,0)),""),"Reorg-Überführung "&amp;C45&amp;" -&gt; "&amp;D45,"abweichende Verlagerung "&amp;C45&amp;" -&gt; "&amp;D45))))</f>
        <v>Reorg-Überführung DE2060203 -&gt; DE206210</v>
      </c>
      <c r="Q45" s="2"/>
    </row>
    <row r="46" customFormat="false" ht="15" hidden="false" customHeight="false" outlineLevel="0" collapsed="false">
      <c r="A46" s="16" t="s">
        <v>40</v>
      </c>
      <c r="B46" s="15" t="s">
        <v>41</v>
      </c>
      <c r="C46" s="16"/>
      <c r="D46" s="16" t="s">
        <v>40</v>
      </c>
      <c r="E46" s="15" t="s">
        <v>64</v>
      </c>
      <c r="F46" s="25" t="s">
        <v>219</v>
      </c>
      <c r="G46" s="15" t="s">
        <v>148</v>
      </c>
      <c r="H46" s="16" t="s">
        <v>149</v>
      </c>
      <c r="I46" s="16"/>
      <c r="J46" s="16" t="s">
        <v>220</v>
      </c>
      <c r="K46" s="17" t="n">
        <v>0</v>
      </c>
      <c r="L46" s="17" t="n">
        <v>500</v>
      </c>
      <c r="M46" s="17" t="n">
        <f aca="false">L46-K46</f>
        <v>500</v>
      </c>
      <c r="N46" s="19" t="str">
        <f aca="false">IF(K46=0,"",M46/K46)</f>
        <v/>
      </c>
      <c r="O46" s="16" t="str">
        <f aca="false">IF(K46=0,"neu",IF(L46=0,"entfallen",IF(M46&gt;0,"erhöht",IF(M46&lt;0,"reduziert","unverändert"))))</f>
        <v>neu</v>
      </c>
      <c r="P46" s="15" t="str">
        <f aca="false">IF(C46="","erstmals in FY27",IF(D46="","nur in FY26",IF(C46=D46,"",IF(D46=IFERROR(INDEX('Cost Center'!$C$7:$C$9,MATCH(C46,'Cost Center'!$A$7:$A$9,0)),""),"Reorg-Überführung "&amp;C46&amp;" -&gt; "&amp;D46,"abweichende Verlagerung "&amp;C46&amp;" -&gt; "&amp;D46))))</f>
        <v>erstmals in FY27</v>
      </c>
      <c r="Q46" s="2"/>
    </row>
    <row r="47" customFormat="false" ht="15" hidden="false" customHeight="false" outlineLevel="0" collapsed="false">
      <c r="A47" s="13" t="s">
        <v>40</v>
      </c>
      <c r="B47" s="12" t="s">
        <v>41</v>
      </c>
      <c r="C47" s="13" t="s">
        <v>38</v>
      </c>
      <c r="D47" s="13" t="s">
        <v>40</v>
      </c>
      <c r="E47" s="12" t="s">
        <v>64</v>
      </c>
      <c r="F47" s="24" t="s">
        <v>221</v>
      </c>
      <c r="G47" s="12" t="s">
        <v>117</v>
      </c>
      <c r="H47" s="13" t="s">
        <v>118</v>
      </c>
      <c r="I47" s="13" t="s">
        <v>222</v>
      </c>
      <c r="J47" s="13" t="s">
        <v>223</v>
      </c>
      <c r="K47" s="14" t="n">
        <v>10000</v>
      </c>
      <c r="L47" s="14" t="n">
        <v>10000</v>
      </c>
      <c r="M47" s="14" t="n">
        <f aca="false">L47-K47</f>
        <v>0</v>
      </c>
      <c r="N47" s="18" t="n">
        <f aca="false">IF(K47=0,"",M47/K47)</f>
        <v>0</v>
      </c>
      <c r="O47" s="13" t="str">
        <f aca="false">IF(K47=0,"neu",IF(L47=0,"entfallen",IF(M47&gt;0,"erhöht",IF(M47&lt;0,"reduziert","unverändert"))))</f>
        <v>unverändert</v>
      </c>
      <c r="P47" s="12" t="str">
        <f aca="false">IF(C47="","erstmals in FY27",IF(D47="","nur in FY26",IF(C47=D47,"",IF(D47=IFERROR(INDEX('Cost Center'!$C$7:$C$9,MATCH(C47,'Cost Center'!$A$7:$A$9,0)),""),"Reorg-Überführung "&amp;C47&amp;" -&gt; "&amp;D47,"abweichende Verlagerung "&amp;C47&amp;" -&gt; "&amp;D47))))</f>
        <v>Reorg-Überführung DE2060203 -&gt; DE206210</v>
      </c>
      <c r="Q47" s="2"/>
    </row>
    <row r="48" customFormat="false" ht="15" hidden="false" customHeight="false" outlineLevel="0" collapsed="false">
      <c r="A48" s="16" t="s">
        <v>40</v>
      </c>
      <c r="B48" s="15" t="s">
        <v>41</v>
      </c>
      <c r="C48" s="16" t="s">
        <v>38</v>
      </c>
      <c r="D48" s="16" t="s">
        <v>40</v>
      </c>
      <c r="E48" s="15" t="s">
        <v>66</v>
      </c>
      <c r="F48" s="25" t="s">
        <v>224</v>
      </c>
      <c r="G48" s="15" t="s">
        <v>121</v>
      </c>
      <c r="H48" s="16" t="s">
        <v>122</v>
      </c>
      <c r="I48" s="16" t="s">
        <v>225</v>
      </c>
      <c r="J48" s="16" t="s">
        <v>226</v>
      </c>
      <c r="K48" s="17" t="n">
        <v>450000</v>
      </c>
      <c r="L48" s="17" t="n">
        <v>225000</v>
      </c>
      <c r="M48" s="17" t="n">
        <f aca="false">L48-K48</f>
        <v>-225000</v>
      </c>
      <c r="N48" s="19" t="n">
        <f aca="false">IF(K48=0,"",M48/K48)</f>
        <v>-0.5</v>
      </c>
      <c r="O48" s="16" t="str">
        <f aca="false">IF(K48=0,"neu",IF(L48=0,"entfallen",IF(M48&gt;0,"erhöht",IF(M48&lt;0,"reduziert","unverändert"))))</f>
        <v>reduziert</v>
      </c>
      <c r="P48" s="15" t="str">
        <f aca="false">IF(C48="","erstmals in FY27",IF(D48="","nur in FY26",IF(C48=D48,"",IF(D48=IFERROR(INDEX('Cost Center'!$C$7:$C$9,MATCH(C48,'Cost Center'!$A$7:$A$9,0)),""),"Reorg-Überführung "&amp;C48&amp;" -&gt; "&amp;D48,"abweichende Verlagerung "&amp;C48&amp;" -&gt; "&amp;D48))))</f>
        <v>Reorg-Überführung DE2060203 -&gt; DE206210</v>
      </c>
      <c r="Q48" s="2"/>
    </row>
    <row r="49" customFormat="false" ht="15" hidden="false" customHeight="false" outlineLevel="0" collapsed="false">
      <c r="A49" s="13" t="s">
        <v>40</v>
      </c>
      <c r="B49" s="12" t="s">
        <v>41</v>
      </c>
      <c r="C49" s="13" t="s">
        <v>38</v>
      </c>
      <c r="D49" s="13" t="s">
        <v>40</v>
      </c>
      <c r="E49" s="12" t="s">
        <v>66</v>
      </c>
      <c r="F49" s="24" t="s">
        <v>227</v>
      </c>
      <c r="G49" s="12" t="s">
        <v>121</v>
      </c>
      <c r="H49" s="13" t="s">
        <v>122</v>
      </c>
      <c r="I49" s="13" t="s">
        <v>228</v>
      </c>
      <c r="J49" s="13" t="s">
        <v>229</v>
      </c>
      <c r="K49" s="14" t="n">
        <v>15000</v>
      </c>
      <c r="L49" s="14" t="n">
        <v>15000</v>
      </c>
      <c r="M49" s="14" t="n">
        <f aca="false">L49-K49</f>
        <v>0</v>
      </c>
      <c r="N49" s="18" t="n">
        <f aca="false">IF(K49=0,"",M49/K49)</f>
        <v>0</v>
      </c>
      <c r="O49" s="13" t="str">
        <f aca="false">IF(K49=0,"neu",IF(L49=0,"entfallen",IF(M49&gt;0,"erhöht",IF(M49&lt;0,"reduziert","unverändert"))))</f>
        <v>unverändert</v>
      </c>
      <c r="P49" s="12" t="str">
        <f aca="false">IF(C49="","erstmals in FY27",IF(D49="","nur in FY26",IF(C49=D49,"",IF(D49=IFERROR(INDEX('Cost Center'!$C$7:$C$9,MATCH(C49,'Cost Center'!$A$7:$A$9,0)),""),"Reorg-Überführung "&amp;C49&amp;" -&gt; "&amp;D49,"abweichende Verlagerung "&amp;C49&amp;" -&gt; "&amp;D49))))</f>
        <v>Reorg-Überführung DE2060203 -&gt; DE206210</v>
      </c>
      <c r="Q49" s="2"/>
    </row>
    <row r="50" customFormat="false" ht="15" hidden="false" customHeight="false" outlineLevel="0" collapsed="false">
      <c r="A50" s="16" t="s">
        <v>40</v>
      </c>
      <c r="B50" s="15" t="s">
        <v>41</v>
      </c>
      <c r="C50" s="16" t="s">
        <v>38</v>
      </c>
      <c r="D50" s="16" t="s">
        <v>40</v>
      </c>
      <c r="E50" s="15" t="s">
        <v>67</v>
      </c>
      <c r="F50" s="25" t="s">
        <v>230</v>
      </c>
      <c r="G50" s="15" t="s">
        <v>121</v>
      </c>
      <c r="H50" s="16" t="s">
        <v>122</v>
      </c>
      <c r="I50" s="16" t="s">
        <v>231</v>
      </c>
      <c r="J50" s="16" t="s">
        <v>232</v>
      </c>
      <c r="K50" s="17" t="n">
        <v>50000</v>
      </c>
      <c r="L50" s="17" t="n">
        <v>40000</v>
      </c>
      <c r="M50" s="17" t="n">
        <f aca="false">L50-K50</f>
        <v>-10000</v>
      </c>
      <c r="N50" s="19" t="n">
        <f aca="false">IF(K50=0,"",M50/K50)</f>
        <v>-0.2</v>
      </c>
      <c r="O50" s="16" t="str">
        <f aca="false">IF(K50=0,"neu",IF(L50=0,"entfallen",IF(M50&gt;0,"erhöht",IF(M50&lt;0,"reduziert","unverändert"))))</f>
        <v>reduziert</v>
      </c>
      <c r="P50" s="15" t="str">
        <f aca="false">IF(C50="","erstmals in FY27",IF(D50="","nur in FY26",IF(C50=D50,"",IF(D50=IFERROR(INDEX('Cost Center'!$C$7:$C$9,MATCH(C50,'Cost Center'!$A$7:$A$9,0)),""),"Reorg-Überführung "&amp;C50&amp;" -&gt; "&amp;D50,"abweichende Verlagerung "&amp;C50&amp;" -&gt; "&amp;D50))))</f>
        <v>Reorg-Überführung DE2060203 -&gt; DE206210</v>
      </c>
      <c r="Q50" s="2"/>
    </row>
    <row r="51" customFormat="false" ht="15" hidden="false" customHeight="false" outlineLevel="0" collapsed="false">
      <c r="A51" s="13" t="s">
        <v>40</v>
      </c>
      <c r="B51" s="12" t="s">
        <v>41</v>
      </c>
      <c r="C51" s="13" t="s">
        <v>38</v>
      </c>
      <c r="D51" s="13" t="s">
        <v>40</v>
      </c>
      <c r="E51" s="12" t="s">
        <v>67</v>
      </c>
      <c r="F51" s="24" t="s">
        <v>233</v>
      </c>
      <c r="G51" s="12" t="s">
        <v>121</v>
      </c>
      <c r="H51" s="13" t="s">
        <v>122</v>
      </c>
      <c r="I51" s="13" t="s">
        <v>234</v>
      </c>
      <c r="J51" s="13" t="s">
        <v>235</v>
      </c>
      <c r="K51" s="14" t="n">
        <v>7230000</v>
      </c>
      <c r="L51" s="14" t="n">
        <v>7165000</v>
      </c>
      <c r="M51" s="14" t="n">
        <f aca="false">L51-K51</f>
        <v>-65000</v>
      </c>
      <c r="N51" s="18" t="n">
        <f aca="false">IF(K51=0,"",M51/K51)</f>
        <v>-0.00899031811894882</v>
      </c>
      <c r="O51" s="13" t="str">
        <f aca="false">IF(K51=0,"neu",IF(L51=0,"entfallen",IF(M51&gt;0,"erhöht",IF(M51&lt;0,"reduziert","unverändert"))))</f>
        <v>reduziert</v>
      </c>
      <c r="P51" s="12" t="str">
        <f aca="false">IF(C51="","erstmals in FY27",IF(D51="","nur in FY26",IF(C51=D51,"",IF(D51=IFERROR(INDEX('Cost Center'!$C$7:$C$9,MATCH(C51,'Cost Center'!$A$7:$A$9,0)),""),"Reorg-Überführung "&amp;C51&amp;" -&gt; "&amp;D51,"abweichende Verlagerung "&amp;C51&amp;" -&gt; "&amp;D51))))</f>
        <v>Reorg-Überführung DE2060203 -&gt; DE206210</v>
      </c>
      <c r="Q51" s="2"/>
    </row>
    <row r="52" customFormat="false" ht="15" hidden="false" customHeight="false" outlineLevel="0" collapsed="false">
      <c r="A52" s="16" t="s">
        <v>40</v>
      </c>
      <c r="B52" s="15" t="s">
        <v>41</v>
      </c>
      <c r="C52" s="16" t="s">
        <v>38</v>
      </c>
      <c r="D52" s="16" t="s">
        <v>40</v>
      </c>
      <c r="E52" s="15" t="s">
        <v>67</v>
      </c>
      <c r="F52" s="25" t="s">
        <v>236</v>
      </c>
      <c r="G52" s="15" t="s">
        <v>121</v>
      </c>
      <c r="H52" s="16" t="s">
        <v>122</v>
      </c>
      <c r="I52" s="16" t="s">
        <v>237</v>
      </c>
      <c r="J52" s="16" t="s">
        <v>238</v>
      </c>
      <c r="K52" s="17" t="n">
        <v>22000</v>
      </c>
      <c r="L52" s="17" t="n">
        <v>21000</v>
      </c>
      <c r="M52" s="17" t="n">
        <f aca="false">L52-K52</f>
        <v>-1000</v>
      </c>
      <c r="N52" s="19" t="n">
        <f aca="false">IF(K52=0,"",M52/K52)</f>
        <v>-0.0454545454545455</v>
      </c>
      <c r="O52" s="16" t="str">
        <f aca="false">IF(K52=0,"neu",IF(L52=0,"entfallen",IF(M52&gt;0,"erhöht",IF(M52&lt;0,"reduziert","unverändert"))))</f>
        <v>reduziert</v>
      </c>
      <c r="P52" s="15" t="str">
        <f aca="false">IF(C52="","erstmals in FY27",IF(D52="","nur in FY26",IF(C52=D52,"",IF(D52=IFERROR(INDEX('Cost Center'!$C$7:$C$9,MATCH(C52,'Cost Center'!$A$7:$A$9,0)),""),"Reorg-Überführung "&amp;C52&amp;" -&gt; "&amp;D52,"abweichende Verlagerung "&amp;C52&amp;" -&gt; "&amp;D52))))</f>
        <v>Reorg-Überführung DE2060203 -&gt; DE206210</v>
      </c>
      <c r="Q52" s="2"/>
    </row>
    <row r="53" customFormat="false" ht="15" hidden="false" customHeight="false" outlineLevel="0" collapsed="false">
      <c r="A53" s="13" t="s">
        <v>40</v>
      </c>
      <c r="B53" s="12" t="s">
        <v>41</v>
      </c>
      <c r="C53" s="13" t="s">
        <v>38</v>
      </c>
      <c r="D53" s="13" t="s">
        <v>40</v>
      </c>
      <c r="E53" s="12" t="s">
        <v>67</v>
      </c>
      <c r="F53" s="24" t="s">
        <v>239</v>
      </c>
      <c r="G53" s="12" t="s">
        <v>121</v>
      </c>
      <c r="H53" s="13" t="s">
        <v>122</v>
      </c>
      <c r="I53" s="13" t="s">
        <v>240</v>
      </c>
      <c r="J53" s="13" t="s">
        <v>241</v>
      </c>
      <c r="K53" s="14" t="n">
        <v>16000</v>
      </c>
      <c r="L53" s="14" t="n">
        <v>15500</v>
      </c>
      <c r="M53" s="14" t="n">
        <f aca="false">L53-K53</f>
        <v>-500</v>
      </c>
      <c r="N53" s="18" t="n">
        <f aca="false">IF(K53=0,"",M53/K53)</f>
        <v>-0.03125</v>
      </c>
      <c r="O53" s="13" t="str">
        <f aca="false">IF(K53=0,"neu",IF(L53=0,"entfallen",IF(M53&gt;0,"erhöht",IF(M53&lt;0,"reduziert","unverändert"))))</f>
        <v>reduziert</v>
      </c>
      <c r="P53" s="12" t="str">
        <f aca="false">IF(C53="","erstmals in FY27",IF(D53="","nur in FY26",IF(C53=D53,"",IF(D53=IFERROR(INDEX('Cost Center'!$C$7:$C$9,MATCH(C53,'Cost Center'!$A$7:$A$9,0)),""),"Reorg-Überführung "&amp;C53&amp;" -&gt; "&amp;D53,"abweichende Verlagerung "&amp;C53&amp;" -&gt; "&amp;D53))))</f>
        <v>Reorg-Überführung DE2060203 -&gt; DE206210</v>
      </c>
      <c r="Q53" s="2"/>
    </row>
    <row r="54" customFormat="false" ht="15" hidden="false" customHeight="false" outlineLevel="0" collapsed="false">
      <c r="A54" s="16" t="s">
        <v>40</v>
      </c>
      <c r="B54" s="15" t="s">
        <v>41</v>
      </c>
      <c r="C54" s="16" t="s">
        <v>38</v>
      </c>
      <c r="D54" s="16" t="s">
        <v>40</v>
      </c>
      <c r="E54" s="15" t="s">
        <v>67</v>
      </c>
      <c r="F54" s="25" t="s">
        <v>242</v>
      </c>
      <c r="G54" s="15" t="s">
        <v>121</v>
      </c>
      <c r="H54" s="16" t="s">
        <v>122</v>
      </c>
      <c r="I54" s="16" t="s">
        <v>243</v>
      </c>
      <c r="J54" s="16" t="s">
        <v>244</v>
      </c>
      <c r="K54" s="17" t="n">
        <v>122000</v>
      </c>
      <c r="L54" s="17" t="n">
        <v>122000</v>
      </c>
      <c r="M54" s="17" t="n">
        <f aca="false">L54-K54</f>
        <v>0</v>
      </c>
      <c r="N54" s="19" t="n">
        <f aca="false">IF(K54=0,"",M54/K54)</f>
        <v>0</v>
      </c>
      <c r="O54" s="16" t="str">
        <f aca="false">IF(K54=0,"neu",IF(L54=0,"entfallen",IF(M54&gt;0,"erhöht",IF(M54&lt;0,"reduziert","unverändert"))))</f>
        <v>unverändert</v>
      </c>
      <c r="P54" s="15" t="str">
        <f aca="false">IF(C54="","erstmals in FY27",IF(D54="","nur in FY26",IF(C54=D54,"",IF(D54=IFERROR(INDEX('Cost Center'!$C$7:$C$9,MATCH(C54,'Cost Center'!$A$7:$A$9,0)),""),"Reorg-Überführung "&amp;C54&amp;" -&gt; "&amp;D54,"abweichende Verlagerung "&amp;C54&amp;" -&gt; "&amp;D54))))</f>
        <v>Reorg-Überführung DE2060203 -&gt; DE206210</v>
      </c>
      <c r="Q54" s="2"/>
    </row>
    <row r="55" customFormat="false" ht="15" hidden="false" customHeight="false" outlineLevel="0" collapsed="false">
      <c r="A55" s="13" t="s">
        <v>40</v>
      </c>
      <c r="B55" s="12" t="s">
        <v>41</v>
      </c>
      <c r="C55" s="13" t="s">
        <v>38</v>
      </c>
      <c r="D55" s="13" t="s">
        <v>40</v>
      </c>
      <c r="E55" s="12" t="s">
        <v>67</v>
      </c>
      <c r="F55" s="24" t="s">
        <v>245</v>
      </c>
      <c r="G55" s="12" t="s">
        <v>121</v>
      </c>
      <c r="H55" s="13" t="s">
        <v>122</v>
      </c>
      <c r="I55" s="13" t="s">
        <v>246</v>
      </c>
      <c r="J55" s="13" t="s">
        <v>247</v>
      </c>
      <c r="K55" s="14" t="n">
        <v>17500</v>
      </c>
      <c r="L55" s="14" t="n">
        <v>17500</v>
      </c>
      <c r="M55" s="14" t="n">
        <f aca="false">L55-K55</f>
        <v>0</v>
      </c>
      <c r="N55" s="18" t="n">
        <f aca="false">IF(K55=0,"",M55/K55)</f>
        <v>0</v>
      </c>
      <c r="O55" s="13" t="str">
        <f aca="false">IF(K55=0,"neu",IF(L55=0,"entfallen",IF(M55&gt;0,"erhöht",IF(M55&lt;0,"reduziert","unverändert"))))</f>
        <v>unverändert</v>
      </c>
      <c r="P55" s="12" t="str">
        <f aca="false">IF(C55="","erstmals in FY27",IF(D55="","nur in FY26",IF(C55=D55,"",IF(D55=IFERROR(INDEX('Cost Center'!$C$7:$C$9,MATCH(C55,'Cost Center'!$A$7:$A$9,0)),""),"Reorg-Überführung "&amp;C55&amp;" -&gt; "&amp;D55,"abweichende Verlagerung "&amp;C55&amp;" -&gt; "&amp;D55))))</f>
        <v>Reorg-Überführung DE2060203 -&gt; DE206210</v>
      </c>
      <c r="Q55" s="2"/>
    </row>
    <row r="56" customFormat="false" ht="15" hidden="false" customHeight="false" outlineLevel="0" collapsed="false">
      <c r="A56" s="16" t="s">
        <v>40</v>
      </c>
      <c r="B56" s="15" t="s">
        <v>41</v>
      </c>
      <c r="C56" s="16" t="s">
        <v>38</v>
      </c>
      <c r="D56" s="16" t="s">
        <v>40</v>
      </c>
      <c r="E56" s="15" t="s">
        <v>67</v>
      </c>
      <c r="F56" s="25" t="s">
        <v>248</v>
      </c>
      <c r="G56" s="15" t="s">
        <v>121</v>
      </c>
      <c r="H56" s="16" t="s">
        <v>122</v>
      </c>
      <c r="I56" s="16" t="s">
        <v>249</v>
      </c>
      <c r="J56" s="16" t="s">
        <v>250</v>
      </c>
      <c r="K56" s="17" t="n">
        <v>157000</v>
      </c>
      <c r="L56" s="17" t="n">
        <v>157000</v>
      </c>
      <c r="M56" s="17" t="n">
        <f aca="false">L56-K56</f>
        <v>0</v>
      </c>
      <c r="N56" s="19" t="n">
        <f aca="false">IF(K56=0,"",M56/K56)</f>
        <v>0</v>
      </c>
      <c r="O56" s="16" t="str">
        <f aca="false">IF(K56=0,"neu",IF(L56=0,"entfallen",IF(M56&gt;0,"erhöht",IF(M56&lt;0,"reduziert","unverändert"))))</f>
        <v>unverändert</v>
      </c>
      <c r="P56" s="15" t="str">
        <f aca="false">IF(C56="","erstmals in FY27",IF(D56="","nur in FY26",IF(C56=D56,"",IF(D56=IFERROR(INDEX('Cost Center'!$C$7:$C$9,MATCH(C56,'Cost Center'!$A$7:$A$9,0)),""),"Reorg-Überführung "&amp;C56&amp;" -&gt; "&amp;D56,"abweichende Verlagerung "&amp;C56&amp;" -&gt; "&amp;D56))))</f>
        <v>Reorg-Überführung DE2060203 -&gt; DE206210</v>
      </c>
      <c r="Q56" s="2"/>
    </row>
    <row r="57" customFormat="false" ht="15" hidden="false" customHeight="false" outlineLevel="0" collapsed="false">
      <c r="A57" s="13" t="s">
        <v>40</v>
      </c>
      <c r="B57" s="12" t="s">
        <v>41</v>
      </c>
      <c r="C57" s="13" t="s">
        <v>38</v>
      </c>
      <c r="D57" s="13" t="s">
        <v>40</v>
      </c>
      <c r="E57" s="12" t="s">
        <v>67</v>
      </c>
      <c r="F57" s="24" t="s">
        <v>251</v>
      </c>
      <c r="G57" s="12" t="s">
        <v>121</v>
      </c>
      <c r="H57" s="13" t="s">
        <v>122</v>
      </c>
      <c r="I57" s="13" t="s">
        <v>252</v>
      </c>
      <c r="J57" s="13" t="s">
        <v>253</v>
      </c>
      <c r="K57" s="14" t="n">
        <v>93000</v>
      </c>
      <c r="L57" s="14" t="n">
        <v>93000</v>
      </c>
      <c r="M57" s="14" t="n">
        <f aca="false">L57-K57</f>
        <v>0</v>
      </c>
      <c r="N57" s="18" t="n">
        <f aca="false">IF(K57=0,"",M57/K57)</f>
        <v>0</v>
      </c>
      <c r="O57" s="13" t="str">
        <f aca="false">IF(K57=0,"neu",IF(L57=0,"entfallen",IF(M57&gt;0,"erhöht",IF(M57&lt;0,"reduziert","unverändert"))))</f>
        <v>unverändert</v>
      </c>
      <c r="P57" s="12" t="str">
        <f aca="false">IF(C57="","erstmals in FY27",IF(D57="","nur in FY26",IF(C57=D57,"",IF(D57=IFERROR(INDEX('Cost Center'!$C$7:$C$9,MATCH(C57,'Cost Center'!$A$7:$A$9,0)),""),"Reorg-Überführung "&amp;C57&amp;" -&gt; "&amp;D57,"abweichende Verlagerung "&amp;C57&amp;" -&gt; "&amp;D57))))</f>
        <v>Reorg-Überführung DE2060203 -&gt; DE206210</v>
      </c>
      <c r="Q57" s="2"/>
    </row>
    <row r="58" customFormat="false" ht="15" hidden="false" customHeight="false" outlineLevel="0" collapsed="false">
      <c r="A58" s="16" t="s">
        <v>40</v>
      </c>
      <c r="B58" s="15" t="s">
        <v>41</v>
      </c>
      <c r="C58" s="16" t="s">
        <v>38</v>
      </c>
      <c r="D58" s="16" t="s">
        <v>40</v>
      </c>
      <c r="E58" s="15" t="s">
        <v>67</v>
      </c>
      <c r="F58" s="25" t="s">
        <v>254</v>
      </c>
      <c r="G58" s="15" t="s">
        <v>121</v>
      </c>
      <c r="H58" s="16" t="s">
        <v>122</v>
      </c>
      <c r="I58" s="16" t="s">
        <v>255</v>
      </c>
      <c r="J58" s="16" t="s">
        <v>256</v>
      </c>
      <c r="K58" s="17" t="n">
        <v>130000</v>
      </c>
      <c r="L58" s="17" t="n">
        <v>90000</v>
      </c>
      <c r="M58" s="17" t="n">
        <f aca="false">L58-K58</f>
        <v>-40000</v>
      </c>
      <c r="N58" s="19" t="n">
        <f aca="false">IF(K58=0,"",M58/K58)</f>
        <v>-0.307692307692308</v>
      </c>
      <c r="O58" s="16" t="str">
        <f aca="false">IF(K58=0,"neu",IF(L58=0,"entfallen",IF(M58&gt;0,"erhöht",IF(M58&lt;0,"reduziert","unverändert"))))</f>
        <v>reduziert</v>
      </c>
      <c r="P58" s="15" t="str">
        <f aca="false">IF(C58="","erstmals in FY27",IF(D58="","nur in FY26",IF(C58=D58,"",IF(D58=IFERROR(INDEX('Cost Center'!$C$7:$C$9,MATCH(C58,'Cost Center'!$A$7:$A$9,0)),""),"Reorg-Überführung "&amp;C58&amp;" -&gt; "&amp;D58,"abweichende Verlagerung "&amp;C58&amp;" -&gt; "&amp;D58))))</f>
        <v>Reorg-Überführung DE2060203 -&gt; DE206210</v>
      </c>
      <c r="Q58" s="2"/>
    </row>
    <row r="59" customFormat="false" ht="15" hidden="false" customHeight="false" outlineLevel="0" collapsed="false">
      <c r="A59" s="13" t="s">
        <v>40</v>
      </c>
      <c r="B59" s="12" t="s">
        <v>41</v>
      </c>
      <c r="C59" s="13" t="s">
        <v>38</v>
      </c>
      <c r="D59" s="13" t="s">
        <v>40</v>
      </c>
      <c r="E59" s="12" t="s">
        <v>67</v>
      </c>
      <c r="F59" s="24" t="s">
        <v>257</v>
      </c>
      <c r="G59" s="12" t="s">
        <v>121</v>
      </c>
      <c r="H59" s="13" t="s">
        <v>122</v>
      </c>
      <c r="I59" s="13" t="s">
        <v>258</v>
      </c>
      <c r="J59" s="13" t="s">
        <v>259</v>
      </c>
      <c r="K59" s="14" t="n">
        <v>88000</v>
      </c>
      <c r="L59" s="14" t="n">
        <v>79000</v>
      </c>
      <c r="M59" s="14" t="n">
        <f aca="false">L59-K59</f>
        <v>-9000</v>
      </c>
      <c r="N59" s="18" t="n">
        <f aca="false">IF(K59=0,"",M59/K59)</f>
        <v>-0.102272727272727</v>
      </c>
      <c r="O59" s="13" t="str">
        <f aca="false">IF(K59=0,"neu",IF(L59=0,"entfallen",IF(M59&gt;0,"erhöht",IF(M59&lt;0,"reduziert","unverändert"))))</f>
        <v>reduziert</v>
      </c>
      <c r="P59" s="12" t="str">
        <f aca="false">IF(C59="","erstmals in FY27",IF(D59="","nur in FY26",IF(C59=D59,"",IF(D59=IFERROR(INDEX('Cost Center'!$C$7:$C$9,MATCH(C59,'Cost Center'!$A$7:$A$9,0)),""),"Reorg-Überführung "&amp;C59&amp;" -&gt; "&amp;D59,"abweichende Verlagerung "&amp;C59&amp;" -&gt; "&amp;D59))))</f>
        <v>Reorg-Überführung DE2060203 -&gt; DE206210</v>
      </c>
      <c r="Q59" s="2"/>
    </row>
    <row r="60" customFormat="false" ht="15" hidden="false" customHeight="false" outlineLevel="0" collapsed="false">
      <c r="A60" s="16" t="s">
        <v>40</v>
      </c>
      <c r="B60" s="15" t="s">
        <v>41</v>
      </c>
      <c r="C60" s="16" t="s">
        <v>38</v>
      </c>
      <c r="D60" s="16" t="s">
        <v>40</v>
      </c>
      <c r="E60" s="15" t="s">
        <v>70</v>
      </c>
      <c r="F60" s="25" t="s">
        <v>260</v>
      </c>
      <c r="G60" s="15" t="s">
        <v>113</v>
      </c>
      <c r="H60" s="16" t="s">
        <v>114</v>
      </c>
      <c r="I60" s="16" t="s">
        <v>261</v>
      </c>
      <c r="J60" s="16" t="s">
        <v>262</v>
      </c>
      <c r="K60" s="17" t="n">
        <v>285000</v>
      </c>
      <c r="L60" s="17" t="n">
        <v>285000</v>
      </c>
      <c r="M60" s="17" t="n">
        <f aca="false">L60-K60</f>
        <v>0</v>
      </c>
      <c r="N60" s="19" t="n">
        <f aca="false">IF(K60=0,"",M60/K60)</f>
        <v>0</v>
      </c>
      <c r="O60" s="16" t="str">
        <f aca="false">IF(K60=0,"neu",IF(L60=0,"entfallen",IF(M60&gt;0,"erhöht",IF(M60&lt;0,"reduziert","unverändert"))))</f>
        <v>unverändert</v>
      </c>
      <c r="P60" s="15" t="str">
        <f aca="false">IF(C60="","erstmals in FY27",IF(D60="","nur in FY26",IF(C60=D60,"",IF(D60=IFERROR(INDEX('Cost Center'!$C$7:$C$9,MATCH(C60,'Cost Center'!$A$7:$A$9,0)),""),"Reorg-Überführung "&amp;C60&amp;" -&gt; "&amp;D60,"abweichende Verlagerung "&amp;C60&amp;" -&gt; "&amp;D60))))</f>
        <v>Reorg-Überführung DE2060203 -&gt; DE206210</v>
      </c>
      <c r="Q60" s="2"/>
    </row>
    <row r="61" customFormat="false" ht="15" hidden="false" customHeight="false" outlineLevel="0" collapsed="false">
      <c r="A61" s="13" t="s">
        <v>40</v>
      </c>
      <c r="B61" s="12" t="s">
        <v>41</v>
      </c>
      <c r="C61" s="13" t="s">
        <v>38</v>
      </c>
      <c r="D61" s="13" t="s">
        <v>40</v>
      </c>
      <c r="E61" s="12" t="s">
        <v>70</v>
      </c>
      <c r="F61" s="24" t="s">
        <v>263</v>
      </c>
      <c r="G61" s="12" t="s">
        <v>113</v>
      </c>
      <c r="H61" s="13" t="s">
        <v>114</v>
      </c>
      <c r="I61" s="13" t="s">
        <v>264</v>
      </c>
      <c r="J61" s="13" t="s">
        <v>265</v>
      </c>
      <c r="K61" s="14" t="n">
        <v>50000</v>
      </c>
      <c r="L61" s="14" t="n">
        <v>50000</v>
      </c>
      <c r="M61" s="14" t="n">
        <f aca="false">L61-K61</f>
        <v>0</v>
      </c>
      <c r="N61" s="18" t="n">
        <f aca="false">IF(K61=0,"",M61/K61)</f>
        <v>0</v>
      </c>
      <c r="O61" s="13" t="str">
        <f aca="false">IF(K61=0,"neu",IF(L61=0,"entfallen",IF(M61&gt;0,"erhöht",IF(M61&lt;0,"reduziert","unverändert"))))</f>
        <v>unverändert</v>
      </c>
      <c r="P61" s="12" t="str">
        <f aca="false">IF(C61="","erstmals in FY27",IF(D61="","nur in FY26",IF(C61=D61,"",IF(D61=IFERROR(INDEX('Cost Center'!$C$7:$C$9,MATCH(C61,'Cost Center'!$A$7:$A$9,0)),""),"Reorg-Überführung "&amp;C61&amp;" -&gt; "&amp;D61,"abweichende Verlagerung "&amp;C61&amp;" -&gt; "&amp;D61))))</f>
        <v>Reorg-Überführung DE2060203 -&gt; DE206210</v>
      </c>
      <c r="Q61" s="2"/>
    </row>
    <row r="62" customFormat="false" ht="15" hidden="false" customHeight="false" outlineLevel="0" collapsed="false">
      <c r="A62" s="16" t="s">
        <v>40</v>
      </c>
      <c r="B62" s="15" t="s">
        <v>41</v>
      </c>
      <c r="C62" s="16" t="s">
        <v>38</v>
      </c>
      <c r="D62" s="16" t="s">
        <v>40</v>
      </c>
      <c r="E62" s="15" t="s">
        <v>70</v>
      </c>
      <c r="F62" s="25" t="s">
        <v>266</v>
      </c>
      <c r="G62" s="15" t="s">
        <v>121</v>
      </c>
      <c r="H62" s="16" t="s">
        <v>122</v>
      </c>
      <c r="I62" s="16" t="s">
        <v>267</v>
      </c>
      <c r="J62" s="16" t="s">
        <v>268</v>
      </c>
      <c r="K62" s="17" t="n">
        <v>49000</v>
      </c>
      <c r="L62" s="17" t="n">
        <v>54500</v>
      </c>
      <c r="M62" s="17" t="n">
        <f aca="false">L62-K62</f>
        <v>5500</v>
      </c>
      <c r="N62" s="19" t="n">
        <f aca="false">IF(K62=0,"",M62/K62)</f>
        <v>0.112244897959184</v>
      </c>
      <c r="O62" s="16" t="str">
        <f aca="false">IF(K62=0,"neu",IF(L62=0,"entfallen",IF(M62&gt;0,"erhöht",IF(M62&lt;0,"reduziert","unverändert"))))</f>
        <v>erhöht</v>
      </c>
      <c r="P62" s="15" t="str">
        <f aca="false">IF(C62="","erstmals in FY27",IF(D62="","nur in FY26",IF(C62=D62,"",IF(D62=IFERROR(INDEX('Cost Center'!$C$7:$C$9,MATCH(C62,'Cost Center'!$A$7:$A$9,0)),""),"Reorg-Überführung "&amp;C62&amp;" -&gt; "&amp;D62,"abweichende Verlagerung "&amp;C62&amp;" -&gt; "&amp;D62))))</f>
        <v>Reorg-Überführung DE2060203 -&gt; DE206210</v>
      </c>
      <c r="Q62" s="2"/>
    </row>
    <row r="63" customFormat="false" ht="15" hidden="false" customHeight="false" outlineLevel="0" collapsed="false">
      <c r="A63" s="13" t="s">
        <v>40</v>
      </c>
      <c r="B63" s="12" t="s">
        <v>41</v>
      </c>
      <c r="C63" s="13" t="s">
        <v>38</v>
      </c>
      <c r="D63" s="13" t="s">
        <v>40</v>
      </c>
      <c r="E63" s="12" t="s">
        <v>70</v>
      </c>
      <c r="F63" s="24" t="s">
        <v>269</v>
      </c>
      <c r="G63" s="12" t="s">
        <v>117</v>
      </c>
      <c r="H63" s="13" t="s">
        <v>118</v>
      </c>
      <c r="I63" s="13" t="s">
        <v>270</v>
      </c>
      <c r="J63" s="13" t="s">
        <v>271</v>
      </c>
      <c r="K63" s="14" t="n">
        <v>23000</v>
      </c>
      <c r="L63" s="14" t="n">
        <v>22500</v>
      </c>
      <c r="M63" s="14" t="n">
        <f aca="false">L63-K63</f>
        <v>-500</v>
      </c>
      <c r="N63" s="18" t="n">
        <f aca="false">IF(K63=0,"",M63/K63)</f>
        <v>-0.0217391304347826</v>
      </c>
      <c r="O63" s="13" t="str">
        <f aca="false">IF(K63=0,"neu",IF(L63=0,"entfallen",IF(M63&gt;0,"erhöht",IF(M63&lt;0,"reduziert","unverändert"))))</f>
        <v>reduziert</v>
      </c>
      <c r="P63" s="12" t="str">
        <f aca="false">IF(C63="","erstmals in FY27",IF(D63="","nur in FY26",IF(C63=D63,"",IF(D63=IFERROR(INDEX('Cost Center'!$C$7:$C$9,MATCH(C63,'Cost Center'!$A$7:$A$9,0)),""),"Reorg-Überführung "&amp;C63&amp;" -&gt; "&amp;D63,"abweichende Verlagerung "&amp;C63&amp;" -&gt; "&amp;D63))))</f>
        <v>Reorg-Überführung DE2060203 -&gt; DE206210</v>
      </c>
      <c r="Q63" s="2"/>
    </row>
    <row r="64" customFormat="false" ht="15" hidden="false" customHeight="false" outlineLevel="0" collapsed="false">
      <c r="A64" s="16" t="s">
        <v>40</v>
      </c>
      <c r="B64" s="15" t="s">
        <v>41</v>
      </c>
      <c r="C64" s="16" t="s">
        <v>38</v>
      </c>
      <c r="D64" s="16" t="s">
        <v>40</v>
      </c>
      <c r="E64" s="15" t="s">
        <v>70</v>
      </c>
      <c r="F64" s="25" t="s">
        <v>272</v>
      </c>
      <c r="G64" s="15" t="s">
        <v>148</v>
      </c>
      <c r="H64" s="16" t="s">
        <v>149</v>
      </c>
      <c r="I64" s="16" t="s">
        <v>273</v>
      </c>
      <c r="J64" s="16" t="s">
        <v>274</v>
      </c>
      <c r="K64" s="17" t="n">
        <v>9000</v>
      </c>
      <c r="L64" s="17" t="n">
        <v>8500</v>
      </c>
      <c r="M64" s="17" t="n">
        <f aca="false">L64-K64</f>
        <v>-500</v>
      </c>
      <c r="N64" s="19" t="n">
        <f aca="false">IF(K64=0,"",M64/K64)</f>
        <v>-0.0555555555555556</v>
      </c>
      <c r="O64" s="16" t="str">
        <f aca="false">IF(K64=0,"neu",IF(L64=0,"entfallen",IF(M64&gt;0,"erhöht",IF(M64&lt;0,"reduziert","unverändert"))))</f>
        <v>reduziert</v>
      </c>
      <c r="P64" s="15" t="str">
        <f aca="false">IF(C64="","erstmals in FY27",IF(D64="","nur in FY26",IF(C64=D64,"",IF(D64=IFERROR(INDEX('Cost Center'!$C$7:$C$9,MATCH(C64,'Cost Center'!$A$7:$A$9,0)),""),"Reorg-Überführung "&amp;C64&amp;" -&gt; "&amp;D64,"abweichende Verlagerung "&amp;C64&amp;" -&gt; "&amp;D64))))</f>
        <v>Reorg-Überführung DE2060203 -&gt; DE206210</v>
      </c>
      <c r="Q64" s="2"/>
    </row>
    <row r="65" customFormat="false" ht="15" hidden="false" customHeight="false" outlineLevel="0" collapsed="false">
      <c r="A65" s="13" t="s">
        <v>40</v>
      </c>
      <c r="B65" s="12" t="s">
        <v>41</v>
      </c>
      <c r="C65" s="13" t="s">
        <v>38</v>
      </c>
      <c r="D65" s="13" t="s">
        <v>40</v>
      </c>
      <c r="E65" s="12" t="s">
        <v>70</v>
      </c>
      <c r="F65" s="24" t="s">
        <v>275</v>
      </c>
      <c r="G65" s="12" t="s">
        <v>113</v>
      </c>
      <c r="H65" s="13" t="s">
        <v>114</v>
      </c>
      <c r="I65" s="13" t="s">
        <v>276</v>
      </c>
      <c r="J65" s="13" t="s">
        <v>277</v>
      </c>
      <c r="K65" s="14" t="n">
        <v>40000</v>
      </c>
      <c r="L65" s="14" t="n">
        <v>45000</v>
      </c>
      <c r="M65" s="14" t="n">
        <f aca="false">L65-K65</f>
        <v>5000</v>
      </c>
      <c r="N65" s="18" t="n">
        <f aca="false">IF(K65=0,"",M65/K65)</f>
        <v>0.125</v>
      </c>
      <c r="O65" s="13" t="str">
        <f aca="false">IF(K65=0,"neu",IF(L65=0,"entfallen",IF(M65&gt;0,"erhöht",IF(M65&lt;0,"reduziert","unverändert"))))</f>
        <v>erhöht</v>
      </c>
      <c r="P65" s="12" t="str">
        <f aca="false">IF(C65="","erstmals in FY27",IF(D65="","nur in FY26",IF(C65=D65,"",IF(D65=IFERROR(INDEX('Cost Center'!$C$7:$C$9,MATCH(C65,'Cost Center'!$A$7:$A$9,0)),""),"Reorg-Überführung "&amp;C65&amp;" -&gt; "&amp;D65,"abweichende Verlagerung "&amp;C65&amp;" -&gt; "&amp;D65))))</f>
        <v>Reorg-Überführung DE2060203 -&gt; DE206210</v>
      </c>
      <c r="Q65" s="2"/>
    </row>
    <row r="66" customFormat="false" ht="15" hidden="false" customHeight="false" outlineLevel="0" collapsed="false">
      <c r="A66" s="16" t="s">
        <v>40</v>
      </c>
      <c r="B66" s="15" t="s">
        <v>41</v>
      </c>
      <c r="C66" s="16"/>
      <c r="D66" s="16" t="s">
        <v>40</v>
      </c>
      <c r="E66" s="15" t="s">
        <v>70</v>
      </c>
      <c r="F66" s="25" t="s">
        <v>278</v>
      </c>
      <c r="G66" s="15" t="s">
        <v>89</v>
      </c>
      <c r="H66" s="16" t="s">
        <v>90</v>
      </c>
      <c r="I66" s="16"/>
      <c r="J66" s="16" t="s">
        <v>279</v>
      </c>
      <c r="K66" s="17" t="n">
        <v>0</v>
      </c>
      <c r="L66" s="17" t="n">
        <v>45</v>
      </c>
      <c r="M66" s="17" t="n">
        <f aca="false">L66-K66</f>
        <v>45</v>
      </c>
      <c r="N66" s="19" t="str">
        <f aca="false">IF(K66=0,"",M66/K66)</f>
        <v/>
      </c>
      <c r="O66" s="16" t="str">
        <f aca="false">IF(K66=0,"neu",IF(L66=0,"entfallen",IF(M66&gt;0,"erhöht",IF(M66&lt;0,"reduziert","unverändert"))))</f>
        <v>neu</v>
      </c>
      <c r="P66" s="15" t="str">
        <f aca="false">IF(C66="","erstmals in FY27",IF(D66="","nur in FY26",IF(C66=D66,"",IF(D66=IFERROR(INDEX('Cost Center'!$C$7:$C$9,MATCH(C66,'Cost Center'!$A$7:$A$9,0)),""),"Reorg-Überführung "&amp;C66&amp;" -&gt; "&amp;D66,"abweichende Verlagerung "&amp;C66&amp;" -&gt; "&amp;D66))))</f>
        <v>erstmals in FY27</v>
      </c>
      <c r="Q66" s="2"/>
    </row>
    <row r="67" customFormat="false" ht="15" hidden="false" customHeight="false" outlineLevel="0" collapsed="false">
      <c r="A67" s="13" t="s">
        <v>40</v>
      </c>
      <c r="B67" s="12" t="s">
        <v>41</v>
      </c>
      <c r="C67" s="13" t="s">
        <v>38</v>
      </c>
      <c r="D67" s="13" t="s">
        <v>40</v>
      </c>
      <c r="E67" s="12" t="s">
        <v>70</v>
      </c>
      <c r="F67" s="24" t="s">
        <v>280</v>
      </c>
      <c r="G67" s="12" t="s">
        <v>117</v>
      </c>
      <c r="H67" s="13" t="s">
        <v>118</v>
      </c>
      <c r="I67" s="13" t="s">
        <v>281</v>
      </c>
      <c r="J67" s="13" t="s">
        <v>282</v>
      </c>
      <c r="K67" s="14" t="n">
        <v>680000</v>
      </c>
      <c r="L67" s="14" t="n">
        <v>680000</v>
      </c>
      <c r="M67" s="14" t="n">
        <f aca="false">L67-K67</f>
        <v>0</v>
      </c>
      <c r="N67" s="18" t="n">
        <f aca="false">IF(K67=0,"",M67/K67)</f>
        <v>0</v>
      </c>
      <c r="O67" s="13" t="str">
        <f aca="false">IF(K67=0,"neu",IF(L67=0,"entfallen",IF(M67&gt;0,"erhöht",IF(M67&lt;0,"reduziert","unverändert"))))</f>
        <v>unverändert</v>
      </c>
      <c r="P67" s="12" t="str">
        <f aca="false">IF(C67="","erstmals in FY27",IF(D67="","nur in FY26",IF(C67=D67,"",IF(D67=IFERROR(INDEX('Cost Center'!$C$7:$C$9,MATCH(C67,'Cost Center'!$A$7:$A$9,0)),""),"Reorg-Überführung "&amp;C67&amp;" -&gt; "&amp;D67,"abweichende Verlagerung "&amp;C67&amp;" -&gt; "&amp;D67))))</f>
        <v>Reorg-Überführung DE2060203 -&gt; DE206210</v>
      </c>
      <c r="Q67" s="2"/>
    </row>
    <row r="68" customFormat="false" ht="15" hidden="false" customHeight="false" outlineLevel="0" collapsed="false">
      <c r="A68" s="16" t="s">
        <v>40</v>
      </c>
      <c r="B68" s="15" t="s">
        <v>41</v>
      </c>
      <c r="C68" s="16" t="s">
        <v>38</v>
      </c>
      <c r="D68" s="16" t="s">
        <v>40</v>
      </c>
      <c r="E68" s="15" t="s">
        <v>70</v>
      </c>
      <c r="F68" s="25" t="s">
        <v>283</v>
      </c>
      <c r="G68" s="15" t="s">
        <v>117</v>
      </c>
      <c r="H68" s="16" t="s">
        <v>118</v>
      </c>
      <c r="I68" s="16" t="s">
        <v>284</v>
      </c>
      <c r="J68" s="16" t="s">
        <v>285</v>
      </c>
      <c r="K68" s="17" t="n">
        <v>250000</v>
      </c>
      <c r="L68" s="17" t="n">
        <v>250000</v>
      </c>
      <c r="M68" s="17" t="n">
        <f aca="false">L68-K68</f>
        <v>0</v>
      </c>
      <c r="N68" s="19" t="n">
        <f aca="false">IF(K68=0,"",M68/K68)</f>
        <v>0</v>
      </c>
      <c r="O68" s="16" t="str">
        <f aca="false">IF(K68=0,"neu",IF(L68=0,"entfallen",IF(M68&gt;0,"erhöht",IF(M68&lt;0,"reduziert","unverändert"))))</f>
        <v>unverändert</v>
      </c>
      <c r="P68" s="15" t="str">
        <f aca="false">IF(C68="","erstmals in FY27",IF(D68="","nur in FY26",IF(C68=D68,"",IF(D68=IFERROR(INDEX('Cost Center'!$C$7:$C$9,MATCH(C68,'Cost Center'!$A$7:$A$9,0)),""),"Reorg-Überführung "&amp;C68&amp;" -&gt; "&amp;D68,"abweichende Verlagerung "&amp;C68&amp;" -&gt; "&amp;D68))))</f>
        <v>Reorg-Überführung DE2060203 -&gt; DE206210</v>
      </c>
      <c r="Q68" s="2"/>
    </row>
    <row r="69" customFormat="false" ht="15" hidden="false" customHeight="false" outlineLevel="0" collapsed="false">
      <c r="A69" s="13" t="s">
        <v>40</v>
      </c>
      <c r="B69" s="12" t="s">
        <v>41</v>
      </c>
      <c r="C69" s="13" t="s">
        <v>38</v>
      </c>
      <c r="D69" s="13" t="s">
        <v>40</v>
      </c>
      <c r="E69" s="12" t="s">
        <v>70</v>
      </c>
      <c r="F69" s="24" t="s">
        <v>286</v>
      </c>
      <c r="G69" s="12" t="s">
        <v>94</v>
      </c>
      <c r="H69" s="13" t="s">
        <v>95</v>
      </c>
      <c r="I69" s="13" t="s">
        <v>287</v>
      </c>
      <c r="J69" s="13" t="s">
        <v>288</v>
      </c>
      <c r="K69" s="14" t="n">
        <v>60000</v>
      </c>
      <c r="L69" s="14" t="n">
        <v>60000</v>
      </c>
      <c r="M69" s="14" t="n">
        <f aca="false">L69-K69</f>
        <v>0</v>
      </c>
      <c r="N69" s="18" t="n">
        <f aca="false">IF(K69=0,"",M69/K69)</f>
        <v>0</v>
      </c>
      <c r="O69" s="13" t="str">
        <f aca="false">IF(K69=0,"neu",IF(L69=0,"entfallen",IF(M69&gt;0,"erhöht",IF(M69&lt;0,"reduziert","unverändert"))))</f>
        <v>unverändert</v>
      </c>
      <c r="P69" s="12" t="str">
        <f aca="false">IF(C69="","erstmals in FY27",IF(D69="","nur in FY26",IF(C69=D69,"",IF(D69=IFERROR(INDEX('Cost Center'!$C$7:$C$9,MATCH(C69,'Cost Center'!$A$7:$A$9,0)),""),"Reorg-Überführung "&amp;C69&amp;" -&gt; "&amp;D69,"abweichende Verlagerung "&amp;C69&amp;" -&gt; "&amp;D69))))</f>
        <v>Reorg-Überführung DE2060203 -&gt; DE206210</v>
      </c>
      <c r="Q69" s="2"/>
    </row>
    <row r="70" customFormat="false" ht="15" hidden="false" customHeight="false" outlineLevel="0" collapsed="false">
      <c r="A70" s="16" t="s">
        <v>40</v>
      </c>
      <c r="B70" s="15" t="s">
        <v>41</v>
      </c>
      <c r="C70" s="16" t="s">
        <v>38</v>
      </c>
      <c r="D70" s="16" t="s">
        <v>40</v>
      </c>
      <c r="E70" s="15" t="s">
        <v>70</v>
      </c>
      <c r="F70" s="25" t="s">
        <v>289</v>
      </c>
      <c r="G70" s="15" t="s">
        <v>94</v>
      </c>
      <c r="H70" s="16" t="s">
        <v>95</v>
      </c>
      <c r="I70" s="16" t="s">
        <v>290</v>
      </c>
      <c r="J70" s="16" t="s">
        <v>291</v>
      </c>
      <c r="K70" s="17" t="n">
        <v>22500</v>
      </c>
      <c r="L70" s="17" t="n">
        <v>22500</v>
      </c>
      <c r="M70" s="17" t="n">
        <f aca="false">L70-K70</f>
        <v>0</v>
      </c>
      <c r="N70" s="19" t="n">
        <f aca="false">IF(K70=0,"",M70/K70)</f>
        <v>0</v>
      </c>
      <c r="O70" s="16" t="str">
        <f aca="false">IF(K70=0,"neu",IF(L70=0,"entfallen",IF(M70&gt;0,"erhöht",IF(M70&lt;0,"reduziert","unverändert"))))</f>
        <v>unverändert</v>
      </c>
      <c r="P70" s="15" t="str">
        <f aca="false">IF(C70="","erstmals in FY27",IF(D70="","nur in FY26",IF(C70=D70,"",IF(D70=IFERROR(INDEX('Cost Center'!$C$7:$C$9,MATCH(C70,'Cost Center'!$A$7:$A$9,0)),""),"Reorg-Überführung "&amp;C70&amp;" -&gt; "&amp;D70,"abweichende Verlagerung "&amp;C70&amp;" -&gt; "&amp;D70))))</f>
        <v>Reorg-Überführung DE2060203 -&gt; DE206210</v>
      </c>
      <c r="Q70" s="2"/>
    </row>
    <row r="71" customFormat="false" ht="15" hidden="false" customHeight="false" outlineLevel="0" collapsed="false">
      <c r="A71" s="13" t="s">
        <v>40</v>
      </c>
      <c r="B71" s="12" t="s">
        <v>41</v>
      </c>
      <c r="C71" s="13"/>
      <c r="D71" s="13" t="s">
        <v>40</v>
      </c>
      <c r="E71" s="12" t="s">
        <v>70</v>
      </c>
      <c r="F71" s="24" t="s">
        <v>292</v>
      </c>
      <c r="G71" s="12" t="s">
        <v>117</v>
      </c>
      <c r="H71" s="13" t="s">
        <v>118</v>
      </c>
      <c r="I71" s="13"/>
      <c r="J71" s="13" t="s">
        <v>293</v>
      </c>
      <c r="K71" s="14" t="n">
        <v>0</v>
      </c>
      <c r="L71" s="14" t="n">
        <v>490000</v>
      </c>
      <c r="M71" s="14" t="n">
        <f aca="false">L71-K71</f>
        <v>490000</v>
      </c>
      <c r="N71" s="18" t="str">
        <f aca="false">IF(K71=0,"",M71/K71)</f>
        <v/>
      </c>
      <c r="O71" s="13" t="str">
        <f aca="false">IF(K71=0,"neu",IF(L71=0,"entfallen",IF(M71&gt;0,"erhöht",IF(M71&lt;0,"reduziert","unverändert"))))</f>
        <v>neu</v>
      </c>
      <c r="P71" s="12" t="str">
        <f aca="false">IF(C71="","erstmals in FY27",IF(D71="","nur in FY26",IF(C71=D71,"",IF(D71=IFERROR(INDEX('Cost Center'!$C$7:$C$9,MATCH(C71,'Cost Center'!$A$7:$A$9,0)),""),"Reorg-Überführung "&amp;C71&amp;" -&gt; "&amp;D71,"abweichende Verlagerung "&amp;C71&amp;" -&gt; "&amp;D71))))</f>
        <v>erstmals in FY27</v>
      </c>
      <c r="Q71" s="2"/>
    </row>
    <row r="72" customFormat="false" ht="15" hidden="false" customHeight="false" outlineLevel="0" collapsed="false">
      <c r="A72" s="16" t="s">
        <v>40</v>
      </c>
      <c r="B72" s="15" t="s">
        <v>41</v>
      </c>
      <c r="C72" s="16" t="s">
        <v>38</v>
      </c>
      <c r="D72" s="16" t="s">
        <v>40</v>
      </c>
      <c r="E72" s="15" t="s">
        <v>70</v>
      </c>
      <c r="F72" s="25" t="s">
        <v>294</v>
      </c>
      <c r="G72" s="15" t="s">
        <v>121</v>
      </c>
      <c r="H72" s="16" t="s">
        <v>122</v>
      </c>
      <c r="I72" s="16" t="s">
        <v>295</v>
      </c>
      <c r="J72" s="16" t="s">
        <v>296</v>
      </c>
      <c r="K72" s="17" t="n">
        <v>81500</v>
      </c>
      <c r="L72" s="17" t="n">
        <v>84250</v>
      </c>
      <c r="M72" s="17" t="n">
        <f aca="false">L72-K72</f>
        <v>2750</v>
      </c>
      <c r="N72" s="19" t="n">
        <f aca="false">IF(K72=0,"",M72/K72)</f>
        <v>0.0337423312883436</v>
      </c>
      <c r="O72" s="16" t="str">
        <f aca="false">IF(K72=0,"neu",IF(L72=0,"entfallen",IF(M72&gt;0,"erhöht",IF(M72&lt;0,"reduziert","unverändert"))))</f>
        <v>erhöht</v>
      </c>
      <c r="P72" s="15" t="str">
        <f aca="false">IF(C72="","erstmals in FY27",IF(D72="","nur in FY26",IF(C72=D72,"",IF(D72=IFERROR(INDEX('Cost Center'!$C$7:$C$9,MATCH(C72,'Cost Center'!$A$7:$A$9,0)),""),"Reorg-Überführung "&amp;C72&amp;" -&gt; "&amp;D72,"abweichende Verlagerung "&amp;C72&amp;" -&gt; "&amp;D72))))</f>
        <v>Reorg-Überführung DE2060203 -&gt; DE206210</v>
      </c>
      <c r="Q72" s="2"/>
    </row>
    <row r="73" customFormat="false" ht="15" hidden="false" customHeight="false" outlineLevel="0" collapsed="false">
      <c r="A73" s="13" t="s">
        <v>40</v>
      </c>
      <c r="B73" s="12" t="s">
        <v>41</v>
      </c>
      <c r="C73" s="13" t="s">
        <v>38</v>
      </c>
      <c r="D73" s="13" t="s">
        <v>40</v>
      </c>
      <c r="E73" s="12" t="s">
        <v>70</v>
      </c>
      <c r="F73" s="24" t="s">
        <v>297</v>
      </c>
      <c r="G73" s="12" t="s">
        <v>121</v>
      </c>
      <c r="H73" s="13" t="s">
        <v>122</v>
      </c>
      <c r="I73" s="13" t="s">
        <v>298</v>
      </c>
      <c r="J73" s="13" t="s">
        <v>299</v>
      </c>
      <c r="K73" s="14" t="n">
        <v>194000</v>
      </c>
      <c r="L73" s="14" t="n">
        <v>197000</v>
      </c>
      <c r="M73" s="14" t="n">
        <f aca="false">L73-K73</f>
        <v>3000</v>
      </c>
      <c r="N73" s="18" t="n">
        <f aca="false">IF(K73=0,"",M73/K73)</f>
        <v>0.0154639175257732</v>
      </c>
      <c r="O73" s="13" t="str">
        <f aca="false">IF(K73=0,"neu",IF(L73=0,"entfallen",IF(M73&gt;0,"erhöht",IF(M73&lt;0,"reduziert","unverändert"))))</f>
        <v>erhöht</v>
      </c>
      <c r="P73" s="12" t="str">
        <f aca="false">IF(C73="","erstmals in FY27",IF(D73="","nur in FY26",IF(C73=D73,"",IF(D73=IFERROR(INDEX('Cost Center'!$C$7:$C$9,MATCH(C73,'Cost Center'!$A$7:$A$9,0)),""),"Reorg-Überführung "&amp;C73&amp;" -&gt; "&amp;D73,"abweichende Verlagerung "&amp;C73&amp;" -&gt; "&amp;D73))))</f>
        <v>Reorg-Überführung DE2060203 -&gt; DE206210</v>
      </c>
      <c r="Q73" s="2"/>
    </row>
    <row r="74" customFormat="false" ht="15" hidden="false" customHeight="false" outlineLevel="0" collapsed="false">
      <c r="A74" s="16" t="s">
        <v>40</v>
      </c>
      <c r="B74" s="15" t="s">
        <v>41</v>
      </c>
      <c r="C74" s="16"/>
      <c r="D74" s="16" t="s">
        <v>40</v>
      </c>
      <c r="E74" s="15" t="s">
        <v>70</v>
      </c>
      <c r="F74" s="25" t="s">
        <v>300</v>
      </c>
      <c r="G74" s="15" t="s">
        <v>121</v>
      </c>
      <c r="H74" s="16" t="s">
        <v>122</v>
      </c>
      <c r="I74" s="16"/>
      <c r="J74" s="16" t="s">
        <v>301</v>
      </c>
      <c r="K74" s="17" t="n">
        <v>0</v>
      </c>
      <c r="L74" s="17" t="n">
        <v>75000</v>
      </c>
      <c r="M74" s="17" t="n">
        <f aca="false">L74-K74</f>
        <v>75000</v>
      </c>
      <c r="N74" s="19" t="str">
        <f aca="false">IF(K74=0,"",M74/K74)</f>
        <v/>
      </c>
      <c r="O74" s="16" t="str">
        <f aca="false">IF(K74=0,"neu",IF(L74=0,"entfallen",IF(M74&gt;0,"erhöht",IF(M74&lt;0,"reduziert","unverändert"))))</f>
        <v>neu</v>
      </c>
      <c r="P74" s="15" t="str">
        <f aca="false">IF(C74="","erstmals in FY27",IF(D74="","nur in FY26",IF(C74=D74,"",IF(D74=IFERROR(INDEX('Cost Center'!$C$7:$C$9,MATCH(C74,'Cost Center'!$A$7:$A$9,0)),""),"Reorg-Überführung "&amp;C74&amp;" -&gt; "&amp;D74,"abweichende Verlagerung "&amp;C74&amp;" -&gt; "&amp;D74))))</f>
        <v>erstmals in FY27</v>
      </c>
      <c r="Q74" s="2"/>
    </row>
    <row r="75" customFormat="false" ht="15" hidden="false" customHeight="false" outlineLevel="0" collapsed="false">
      <c r="A75" s="20" t="s">
        <v>302</v>
      </c>
      <c r="B75" s="20"/>
      <c r="C75" s="20"/>
      <c r="D75" s="20"/>
      <c r="E75" s="20"/>
      <c r="F75" s="20"/>
      <c r="G75" s="20"/>
      <c r="H75" s="20"/>
      <c r="I75" s="20"/>
      <c r="J75" s="20"/>
      <c r="K75" s="21" t="n">
        <f aca="false">SUM(K3:K74)</f>
        <v>16164300</v>
      </c>
      <c r="L75" s="21" t="n">
        <f aca="false">SUM(L3:L74)</f>
        <v>18380095</v>
      </c>
      <c r="M75" s="21" t="n">
        <f aca="false">SUM(M3:M74)</f>
        <v>2215795</v>
      </c>
      <c r="N75" s="22" t="n">
        <f aca="false">IF(K75=0,"",M75/K75)</f>
        <v>0.137079551851921</v>
      </c>
      <c r="O75" s="20"/>
      <c r="P75" s="20"/>
      <c r="Q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customFormat="false" ht="15" hidden="false" customHeight="false" outlineLevel="0" collapsed="false">
      <c r="A77" s="4" t="s">
        <v>303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</sheetData>
  <autoFilter ref="A2:P74"/>
  <conditionalFormatting sqref="M3:M74">
    <cfRule type="cellIs" priority="2" operator="greaterThan" aboveAverage="0" equalAverage="0" bottom="0" percent="0" rank="0" text="" dxfId="2">
      <formula>0</formula>
    </cfRule>
    <cfRule type="cellIs" priority="3" operator="lessThan" aboveAverage="0" equalAverage="0" bottom="0" percent="0" rank="0" text="" dxfId="3">
      <formula>0</formula>
    </cfRule>
  </conditionalFormatting>
  <conditionalFormatting sqref="N3:N74">
    <cfRule type="cellIs" priority="4" operator="greaterThan" aboveAverage="0" equalAverage="0" bottom="0" percent="0" rank="0" text="" dxfId="12">
      <formula>0</formula>
    </cfRule>
    <cfRule type="cellIs" priority="5" operator="lessThan" aboveAverage="0" equalAverage="0" bottom="0" percent="0" rank="0" text="" dxfId="1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&amp;LBudgetanalyse FY26/FY27 – &amp;A&amp;R&amp;P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8" min="7" style="0" width="15"/>
  </cols>
  <sheetData>
    <row r="1" customFormat="false" ht="15" hidden="false" customHeight="false" outlineLevel="0" collapsed="false">
      <c r="A1" s="26" t="s">
        <v>304</v>
      </c>
      <c r="B1" s="27"/>
      <c r="C1" s="27"/>
      <c r="D1" s="27"/>
      <c r="E1" s="27"/>
      <c r="F1" s="27"/>
      <c r="G1" s="26" t="s">
        <v>20</v>
      </c>
      <c r="H1" s="26" t="s">
        <v>21</v>
      </c>
    </row>
    <row r="2" customFormat="false" ht="15" hidden="false" customHeight="false" outlineLevel="0" collapsed="false">
      <c r="A2" s="26" t="s">
        <v>305</v>
      </c>
      <c r="B2" s="26" t="s">
        <v>306</v>
      </c>
      <c r="C2" s="26" t="s">
        <v>307</v>
      </c>
      <c r="D2" s="26" t="s">
        <v>308</v>
      </c>
      <c r="E2" s="26" t="s">
        <v>309</v>
      </c>
      <c r="F2" s="26" t="s">
        <v>310</v>
      </c>
      <c r="G2" s="26" t="s">
        <v>311</v>
      </c>
      <c r="H2" s="26" t="s">
        <v>312</v>
      </c>
    </row>
    <row r="3" customFormat="false" ht="15" hidden="false" customHeight="false" outlineLevel="0" collapsed="false">
      <c r="A3" s="27" t="s">
        <v>313</v>
      </c>
      <c r="B3" s="27" t="s">
        <v>314</v>
      </c>
      <c r="C3" s="27" t="s">
        <v>315</v>
      </c>
      <c r="D3" s="27" t="s">
        <v>316</v>
      </c>
      <c r="E3" s="27" t="n">
        <v>74200320</v>
      </c>
      <c r="F3" s="27" t="s">
        <v>121</v>
      </c>
      <c r="G3" s="28" t="n">
        <v>85000</v>
      </c>
      <c r="H3" s="27"/>
    </row>
    <row r="4" customFormat="false" ht="15" hidden="false" customHeight="false" outlineLevel="0" collapsed="false">
      <c r="A4" s="27" t="s">
        <v>313</v>
      </c>
      <c r="B4" s="27" t="s">
        <v>314</v>
      </c>
      <c r="C4" s="27" t="s">
        <v>317</v>
      </c>
      <c r="D4" s="27" t="s">
        <v>316</v>
      </c>
      <c r="E4" s="27" t="n">
        <v>74200320</v>
      </c>
      <c r="F4" s="27" t="s">
        <v>121</v>
      </c>
      <c r="G4" s="28" t="n">
        <v>725000</v>
      </c>
      <c r="H4" s="27"/>
    </row>
    <row r="5" customFormat="false" ht="15" hidden="false" customHeight="false" outlineLevel="0" collapsed="false">
      <c r="A5" s="27" t="s">
        <v>313</v>
      </c>
      <c r="B5" s="27" t="s">
        <v>314</v>
      </c>
      <c r="C5" s="27" t="s">
        <v>318</v>
      </c>
      <c r="D5" s="27" t="s">
        <v>316</v>
      </c>
      <c r="E5" s="27" t="n">
        <v>74200320</v>
      </c>
      <c r="F5" s="27" t="s">
        <v>121</v>
      </c>
      <c r="G5" s="28" t="n">
        <v>110000</v>
      </c>
      <c r="H5" s="27"/>
    </row>
    <row r="6" customFormat="false" ht="15" hidden="false" customHeight="false" outlineLevel="0" collapsed="false">
      <c r="A6" s="27" t="s">
        <v>313</v>
      </c>
      <c r="B6" s="27" t="s">
        <v>314</v>
      </c>
      <c r="C6" s="27" t="s">
        <v>319</v>
      </c>
      <c r="D6" s="27" t="s">
        <v>316</v>
      </c>
      <c r="E6" s="27" t="n">
        <v>73580740</v>
      </c>
      <c r="F6" s="27" t="s">
        <v>117</v>
      </c>
      <c r="G6" s="28" t="n">
        <v>300000</v>
      </c>
      <c r="H6" s="27"/>
    </row>
    <row r="7" customFormat="false" ht="15" hidden="false" customHeight="false" outlineLevel="0" collapsed="false">
      <c r="A7" s="27" t="s">
        <v>313</v>
      </c>
      <c r="B7" s="27" t="s">
        <v>314</v>
      </c>
      <c r="C7" s="27" t="s">
        <v>320</v>
      </c>
      <c r="D7" s="27" t="s">
        <v>316</v>
      </c>
      <c r="E7" s="27" t="n">
        <v>73580730</v>
      </c>
      <c r="F7" s="27" t="s">
        <v>113</v>
      </c>
      <c r="G7" s="28" t="n">
        <v>50000</v>
      </c>
      <c r="H7" s="27"/>
    </row>
    <row r="8" customFormat="false" ht="15" hidden="false" customHeight="false" outlineLevel="0" collapsed="false">
      <c r="A8" s="27" t="s">
        <v>313</v>
      </c>
      <c r="B8" s="27" t="s">
        <v>314</v>
      </c>
      <c r="C8" s="27" t="s">
        <v>321</v>
      </c>
      <c r="D8" s="27" t="s">
        <v>316</v>
      </c>
      <c r="E8" s="27" t="n">
        <v>73580740</v>
      </c>
      <c r="F8" s="27" t="s">
        <v>117</v>
      </c>
      <c r="G8" s="28" t="n">
        <v>85000</v>
      </c>
      <c r="H8" s="27"/>
    </row>
    <row r="9" customFormat="false" ht="15" hidden="false" customHeight="false" outlineLevel="0" collapsed="false">
      <c r="A9" s="27" t="s">
        <v>322</v>
      </c>
      <c r="B9" s="27" t="s">
        <v>323</v>
      </c>
      <c r="C9" s="27" t="s">
        <v>324</v>
      </c>
      <c r="D9" s="27" t="s">
        <v>316</v>
      </c>
      <c r="E9" s="27" t="n">
        <v>73580730</v>
      </c>
      <c r="F9" s="27" t="s">
        <v>113</v>
      </c>
      <c r="G9" s="28" t="n">
        <v>50000</v>
      </c>
      <c r="H9" s="27"/>
    </row>
    <row r="10" customFormat="false" ht="15" hidden="false" customHeight="false" outlineLevel="0" collapsed="false">
      <c r="A10" s="27" t="s">
        <v>322</v>
      </c>
      <c r="B10" s="27" t="s">
        <v>323</v>
      </c>
      <c r="C10" s="27" t="s">
        <v>325</v>
      </c>
      <c r="D10" s="27" t="s">
        <v>316</v>
      </c>
      <c r="E10" s="27" t="n">
        <v>74200320</v>
      </c>
      <c r="F10" s="27" t="s">
        <v>121</v>
      </c>
      <c r="G10" s="28" t="n">
        <v>450000</v>
      </c>
      <c r="H10" s="27"/>
    </row>
    <row r="11" customFormat="false" ht="15" hidden="false" customHeight="false" outlineLevel="0" collapsed="false">
      <c r="A11" s="27" t="s">
        <v>322</v>
      </c>
      <c r="B11" s="27" t="s">
        <v>323</v>
      </c>
      <c r="C11" s="27" t="s">
        <v>326</v>
      </c>
      <c r="D11" s="27" t="s">
        <v>316</v>
      </c>
      <c r="E11" s="27" t="n">
        <v>74200320</v>
      </c>
      <c r="F11" s="27" t="s">
        <v>121</v>
      </c>
      <c r="G11" s="28" t="n">
        <v>22000</v>
      </c>
      <c r="H11" s="27"/>
    </row>
    <row r="12" customFormat="false" ht="15" hidden="false" customHeight="false" outlineLevel="0" collapsed="false">
      <c r="A12" s="27" t="s">
        <v>322</v>
      </c>
      <c r="B12" s="27" t="s">
        <v>323</v>
      </c>
      <c r="C12" s="27" t="s">
        <v>327</v>
      </c>
      <c r="D12" s="27" t="s">
        <v>316</v>
      </c>
      <c r="E12" s="27" t="n">
        <v>72830100</v>
      </c>
      <c r="F12" s="27" t="s">
        <v>148</v>
      </c>
      <c r="G12" s="28" t="n">
        <v>3000</v>
      </c>
      <c r="H12" s="27"/>
    </row>
    <row r="13" customFormat="false" ht="15" hidden="false" customHeight="false" outlineLevel="0" collapsed="false">
      <c r="A13" s="27" t="s">
        <v>322</v>
      </c>
      <c r="B13" s="27" t="s">
        <v>323</v>
      </c>
      <c r="C13" s="27" t="s">
        <v>328</v>
      </c>
      <c r="D13" s="27" t="s">
        <v>316</v>
      </c>
      <c r="E13" s="27" t="n">
        <v>73580740</v>
      </c>
      <c r="F13" s="27" t="s">
        <v>117</v>
      </c>
      <c r="G13" s="28" t="n">
        <v>680000</v>
      </c>
      <c r="H13" s="27"/>
    </row>
    <row r="14" customFormat="false" ht="15" hidden="false" customHeight="false" outlineLevel="0" collapsed="false">
      <c r="A14" s="27" t="s">
        <v>322</v>
      </c>
      <c r="B14" s="27" t="s">
        <v>323</v>
      </c>
      <c r="C14" s="27" t="s">
        <v>329</v>
      </c>
      <c r="D14" s="27" t="s">
        <v>316</v>
      </c>
      <c r="E14" s="27" t="n">
        <v>74200320</v>
      </c>
      <c r="F14" s="27" t="s">
        <v>121</v>
      </c>
      <c r="G14" s="28" t="n">
        <v>157000</v>
      </c>
      <c r="H14" s="27"/>
    </row>
    <row r="15" customFormat="false" ht="15" hidden="false" customHeight="false" outlineLevel="0" collapsed="false">
      <c r="A15" s="27" t="s">
        <v>322</v>
      </c>
      <c r="B15" s="27" t="s">
        <v>323</v>
      </c>
      <c r="C15" s="27" t="s">
        <v>330</v>
      </c>
      <c r="D15" s="27" t="s">
        <v>316</v>
      </c>
      <c r="E15" s="27" t="n">
        <v>73580740</v>
      </c>
      <c r="F15" s="27" t="s">
        <v>117</v>
      </c>
      <c r="G15" s="28" t="n">
        <v>23000</v>
      </c>
      <c r="H15" s="27"/>
    </row>
    <row r="16" customFormat="false" ht="15" hidden="false" customHeight="false" outlineLevel="0" collapsed="false">
      <c r="A16" s="27" t="s">
        <v>322</v>
      </c>
      <c r="B16" s="27" t="s">
        <v>323</v>
      </c>
      <c r="C16" s="27" t="s">
        <v>331</v>
      </c>
      <c r="D16" s="27" t="s">
        <v>316</v>
      </c>
      <c r="E16" s="27" t="n">
        <v>73580730</v>
      </c>
      <c r="F16" s="27" t="s">
        <v>113</v>
      </c>
      <c r="G16" s="28" t="n">
        <v>285000</v>
      </c>
      <c r="H16" s="27"/>
    </row>
    <row r="17" customFormat="false" ht="15" hidden="false" customHeight="false" outlineLevel="0" collapsed="false">
      <c r="A17" s="27" t="s">
        <v>322</v>
      </c>
      <c r="B17" s="27" t="s">
        <v>323</v>
      </c>
      <c r="C17" s="27" t="s">
        <v>332</v>
      </c>
      <c r="D17" s="27" t="s">
        <v>316</v>
      </c>
      <c r="E17" s="27" t="n">
        <v>75500400</v>
      </c>
      <c r="F17" s="27" t="s">
        <v>179</v>
      </c>
      <c r="G17" s="28" t="n">
        <v>5000</v>
      </c>
      <c r="H17" s="27"/>
    </row>
    <row r="18" customFormat="false" ht="15" hidden="false" customHeight="false" outlineLevel="0" collapsed="false">
      <c r="A18" s="27" t="s">
        <v>322</v>
      </c>
      <c r="B18" s="27" t="s">
        <v>323</v>
      </c>
      <c r="C18" s="27" t="s">
        <v>333</v>
      </c>
      <c r="D18" s="27" t="s">
        <v>316</v>
      </c>
      <c r="E18" s="27" t="n">
        <v>73580740</v>
      </c>
      <c r="F18" s="27" t="s">
        <v>117</v>
      </c>
      <c r="G18" s="28" t="n">
        <v>10000</v>
      </c>
      <c r="H18" s="27"/>
    </row>
    <row r="19" customFormat="false" ht="15" hidden="false" customHeight="false" outlineLevel="0" collapsed="false">
      <c r="A19" s="27" t="s">
        <v>322</v>
      </c>
      <c r="B19" s="27" t="s">
        <v>323</v>
      </c>
      <c r="C19" s="27" t="s">
        <v>334</v>
      </c>
      <c r="D19" s="27" t="s">
        <v>316</v>
      </c>
      <c r="E19" s="27" t="n">
        <v>74200320</v>
      </c>
      <c r="F19" s="27" t="s">
        <v>121</v>
      </c>
      <c r="G19" s="28" t="n">
        <v>50000</v>
      </c>
      <c r="H19" s="27"/>
    </row>
    <row r="20" customFormat="false" ht="15" hidden="false" customHeight="false" outlineLevel="0" collapsed="false">
      <c r="A20" s="27" t="s">
        <v>322</v>
      </c>
      <c r="B20" s="27" t="s">
        <v>323</v>
      </c>
      <c r="C20" s="27" t="s">
        <v>335</v>
      </c>
      <c r="D20" s="27" t="s">
        <v>316</v>
      </c>
      <c r="E20" s="27" t="n">
        <v>74200320</v>
      </c>
      <c r="F20" s="27" t="s">
        <v>121</v>
      </c>
      <c r="G20" s="28" t="n">
        <v>7230000</v>
      </c>
      <c r="H20" s="27"/>
    </row>
    <row r="21" customFormat="false" ht="15" hidden="false" customHeight="false" outlineLevel="0" collapsed="false">
      <c r="A21" s="27" t="s">
        <v>322</v>
      </c>
      <c r="B21" s="27" t="s">
        <v>323</v>
      </c>
      <c r="C21" s="27" t="s">
        <v>336</v>
      </c>
      <c r="D21" s="27" t="s">
        <v>316</v>
      </c>
      <c r="E21" s="27" t="n">
        <v>73580730</v>
      </c>
      <c r="F21" s="27" t="s">
        <v>113</v>
      </c>
      <c r="G21" s="28" t="n">
        <v>40000</v>
      </c>
      <c r="H21" s="27"/>
    </row>
    <row r="22" customFormat="false" ht="15" hidden="false" customHeight="false" outlineLevel="0" collapsed="false">
      <c r="A22" s="27" t="s">
        <v>322</v>
      </c>
      <c r="B22" s="27" t="s">
        <v>323</v>
      </c>
      <c r="C22" s="27" t="s">
        <v>337</v>
      </c>
      <c r="D22" s="27" t="s">
        <v>316</v>
      </c>
      <c r="E22" s="27" t="n">
        <v>74200320</v>
      </c>
      <c r="F22" s="27" t="s">
        <v>121</v>
      </c>
      <c r="G22" s="28" t="n">
        <v>122000</v>
      </c>
      <c r="H22" s="27"/>
    </row>
    <row r="23" customFormat="false" ht="15" hidden="false" customHeight="false" outlineLevel="0" collapsed="false">
      <c r="A23" s="27" t="s">
        <v>322</v>
      </c>
      <c r="B23" s="27" t="s">
        <v>323</v>
      </c>
      <c r="C23" s="27" t="s">
        <v>338</v>
      </c>
      <c r="D23" s="27" t="s">
        <v>316</v>
      </c>
      <c r="E23" s="27" t="n">
        <v>74200320</v>
      </c>
      <c r="F23" s="27" t="s">
        <v>121</v>
      </c>
      <c r="G23" s="28" t="n">
        <v>93000</v>
      </c>
      <c r="H23" s="27"/>
    </row>
    <row r="24" customFormat="false" ht="15" hidden="false" customHeight="false" outlineLevel="0" collapsed="false">
      <c r="A24" s="27" t="s">
        <v>322</v>
      </c>
      <c r="B24" s="27" t="s">
        <v>323</v>
      </c>
      <c r="C24" s="27" t="s">
        <v>339</v>
      </c>
      <c r="D24" s="27" t="s">
        <v>316</v>
      </c>
      <c r="E24" s="27" t="n">
        <v>75500405</v>
      </c>
      <c r="F24" s="27" t="s">
        <v>94</v>
      </c>
      <c r="G24" s="28" t="n">
        <v>10000</v>
      </c>
      <c r="H24" s="27"/>
    </row>
    <row r="25" customFormat="false" ht="15" hidden="false" customHeight="false" outlineLevel="0" collapsed="false">
      <c r="A25" s="27" t="s">
        <v>322</v>
      </c>
      <c r="B25" s="27" t="s">
        <v>323</v>
      </c>
      <c r="C25" s="27" t="s">
        <v>340</v>
      </c>
      <c r="D25" s="27" t="s">
        <v>316</v>
      </c>
      <c r="E25" s="27" t="n">
        <v>73580730</v>
      </c>
      <c r="F25" s="27" t="s">
        <v>113</v>
      </c>
      <c r="G25" s="28" t="n">
        <v>20000</v>
      </c>
      <c r="H25" s="27"/>
    </row>
    <row r="26" customFormat="false" ht="15" hidden="false" customHeight="false" outlineLevel="0" collapsed="false">
      <c r="A26" s="27" t="s">
        <v>322</v>
      </c>
      <c r="B26" s="27" t="s">
        <v>323</v>
      </c>
      <c r="C26" s="27" t="s">
        <v>341</v>
      </c>
      <c r="D26" s="27" t="s">
        <v>316</v>
      </c>
      <c r="E26" s="27" t="n">
        <v>74200320</v>
      </c>
      <c r="F26" s="27" t="s">
        <v>121</v>
      </c>
      <c r="G26" s="28" t="n">
        <v>49000</v>
      </c>
      <c r="H26" s="27"/>
    </row>
    <row r="27" customFormat="false" ht="15" hidden="false" customHeight="false" outlineLevel="0" collapsed="false">
      <c r="A27" s="27" t="s">
        <v>322</v>
      </c>
      <c r="B27" s="27" t="s">
        <v>323</v>
      </c>
      <c r="C27" s="27" t="s">
        <v>342</v>
      </c>
      <c r="D27" s="27" t="s">
        <v>316</v>
      </c>
      <c r="E27" s="27" t="n">
        <v>74200320</v>
      </c>
      <c r="F27" s="27" t="s">
        <v>121</v>
      </c>
      <c r="G27" s="28" t="n">
        <v>16000</v>
      </c>
      <c r="H27" s="27"/>
    </row>
    <row r="28" customFormat="false" ht="15" hidden="false" customHeight="false" outlineLevel="0" collapsed="false">
      <c r="A28" s="27" t="s">
        <v>322</v>
      </c>
      <c r="B28" s="27" t="s">
        <v>323</v>
      </c>
      <c r="C28" s="27" t="s">
        <v>343</v>
      </c>
      <c r="D28" s="27" t="s">
        <v>316</v>
      </c>
      <c r="E28" s="27" t="n">
        <v>75500405</v>
      </c>
      <c r="F28" s="27" t="s">
        <v>94</v>
      </c>
      <c r="G28" s="28" t="n">
        <v>22500</v>
      </c>
      <c r="H28" s="27"/>
    </row>
    <row r="29" customFormat="false" ht="15" hidden="false" customHeight="false" outlineLevel="0" collapsed="false">
      <c r="A29" s="27" t="s">
        <v>322</v>
      </c>
      <c r="B29" s="27" t="s">
        <v>323</v>
      </c>
      <c r="C29" s="27" t="s">
        <v>344</v>
      </c>
      <c r="D29" s="27" t="s">
        <v>316</v>
      </c>
      <c r="E29" s="27" t="n">
        <v>75500405</v>
      </c>
      <c r="F29" s="27" t="s">
        <v>94</v>
      </c>
      <c r="G29" s="28" t="n">
        <v>60000</v>
      </c>
      <c r="H29" s="27"/>
    </row>
    <row r="30" customFormat="false" ht="15" hidden="false" customHeight="false" outlineLevel="0" collapsed="false">
      <c r="A30" s="27" t="s">
        <v>322</v>
      </c>
      <c r="B30" s="27" t="s">
        <v>323</v>
      </c>
      <c r="C30" s="27" t="s">
        <v>345</v>
      </c>
      <c r="D30" s="27" t="s">
        <v>316</v>
      </c>
      <c r="E30" s="27" t="n">
        <v>74200320</v>
      </c>
      <c r="F30" s="27" t="s">
        <v>121</v>
      </c>
      <c r="G30" s="28" t="n">
        <v>24000</v>
      </c>
      <c r="H30" s="27"/>
    </row>
    <row r="31" customFormat="false" ht="15" hidden="false" customHeight="false" outlineLevel="0" collapsed="false">
      <c r="A31" s="27" t="s">
        <v>322</v>
      </c>
      <c r="B31" s="27" t="s">
        <v>323</v>
      </c>
      <c r="C31" s="27" t="s">
        <v>346</v>
      </c>
      <c r="D31" s="27" t="s">
        <v>316</v>
      </c>
      <c r="E31" s="27" t="n">
        <v>74200320</v>
      </c>
      <c r="F31" s="27" t="s">
        <v>121</v>
      </c>
      <c r="G31" s="28" t="n">
        <v>81500</v>
      </c>
      <c r="H31" s="27"/>
    </row>
    <row r="32" customFormat="false" ht="15" hidden="false" customHeight="false" outlineLevel="0" collapsed="false">
      <c r="A32" s="27" t="s">
        <v>322</v>
      </c>
      <c r="B32" s="27" t="s">
        <v>323</v>
      </c>
      <c r="C32" s="27" t="s">
        <v>347</v>
      </c>
      <c r="D32" s="27" t="s">
        <v>316</v>
      </c>
      <c r="E32" s="27" t="n">
        <v>74200320</v>
      </c>
      <c r="F32" s="27" t="s">
        <v>121</v>
      </c>
      <c r="G32" s="28" t="n">
        <v>17500</v>
      </c>
      <c r="H32" s="27"/>
    </row>
    <row r="33" customFormat="false" ht="15" hidden="false" customHeight="false" outlineLevel="0" collapsed="false">
      <c r="A33" s="27" t="s">
        <v>322</v>
      </c>
      <c r="B33" s="27" t="s">
        <v>323</v>
      </c>
      <c r="C33" s="27" t="s">
        <v>348</v>
      </c>
      <c r="D33" s="27" t="s">
        <v>316</v>
      </c>
      <c r="E33" s="27" t="n">
        <v>74200320</v>
      </c>
      <c r="F33" s="27" t="s">
        <v>121</v>
      </c>
      <c r="G33" s="28" t="n">
        <v>88000</v>
      </c>
      <c r="H33" s="27"/>
    </row>
    <row r="34" customFormat="false" ht="15" hidden="false" customHeight="false" outlineLevel="0" collapsed="false">
      <c r="A34" s="27" t="s">
        <v>322</v>
      </c>
      <c r="B34" s="27" t="s">
        <v>323</v>
      </c>
      <c r="C34" s="27" t="s">
        <v>349</v>
      </c>
      <c r="D34" s="27" t="s">
        <v>316</v>
      </c>
      <c r="E34" s="27" t="n">
        <v>72830100</v>
      </c>
      <c r="F34" s="27" t="s">
        <v>148</v>
      </c>
      <c r="G34" s="28" t="n">
        <v>9000</v>
      </c>
      <c r="H34" s="27"/>
    </row>
    <row r="35" customFormat="false" ht="15" hidden="false" customHeight="false" outlineLevel="0" collapsed="false">
      <c r="A35" s="27" t="s">
        <v>322</v>
      </c>
      <c r="B35" s="27" t="s">
        <v>323</v>
      </c>
      <c r="C35" s="27" t="s">
        <v>350</v>
      </c>
      <c r="D35" s="27" t="s">
        <v>316</v>
      </c>
      <c r="E35" s="27" t="n">
        <v>74200320</v>
      </c>
      <c r="F35" s="27" t="s">
        <v>121</v>
      </c>
      <c r="G35" s="28" t="n">
        <v>31100</v>
      </c>
      <c r="H35" s="27"/>
    </row>
    <row r="36" customFormat="false" ht="15" hidden="false" customHeight="false" outlineLevel="0" collapsed="false">
      <c r="A36" s="27" t="s">
        <v>322</v>
      </c>
      <c r="B36" s="27" t="s">
        <v>323</v>
      </c>
      <c r="C36" s="27" t="s">
        <v>351</v>
      </c>
      <c r="D36" s="27" t="s">
        <v>316</v>
      </c>
      <c r="E36" s="27" t="n">
        <v>73580730</v>
      </c>
      <c r="F36" s="27" t="s">
        <v>113</v>
      </c>
      <c r="G36" s="28" t="n">
        <v>75000</v>
      </c>
      <c r="H36" s="27"/>
    </row>
    <row r="37" customFormat="false" ht="15" hidden="false" customHeight="false" outlineLevel="0" collapsed="false">
      <c r="A37" s="27" t="s">
        <v>322</v>
      </c>
      <c r="B37" s="27" t="s">
        <v>323</v>
      </c>
      <c r="C37" s="27" t="s">
        <v>352</v>
      </c>
      <c r="D37" s="27" t="s">
        <v>316</v>
      </c>
      <c r="E37" s="27" t="n">
        <v>74200320</v>
      </c>
      <c r="F37" s="27" t="s">
        <v>121</v>
      </c>
      <c r="G37" s="28" t="n">
        <v>30000</v>
      </c>
      <c r="H37" s="27"/>
    </row>
    <row r="38" customFormat="false" ht="15" hidden="false" customHeight="false" outlineLevel="0" collapsed="false">
      <c r="A38" s="27" t="s">
        <v>322</v>
      </c>
      <c r="B38" s="27" t="s">
        <v>323</v>
      </c>
      <c r="C38" s="27" t="s">
        <v>353</v>
      </c>
      <c r="D38" s="27" t="s">
        <v>316</v>
      </c>
      <c r="E38" s="27" t="n">
        <v>74200320</v>
      </c>
      <c r="F38" s="27" t="s">
        <v>121</v>
      </c>
      <c r="G38" s="28" t="n">
        <v>194000</v>
      </c>
      <c r="H38" s="27"/>
    </row>
    <row r="39" customFormat="false" ht="15" hidden="false" customHeight="false" outlineLevel="0" collapsed="false">
      <c r="A39" s="27" t="s">
        <v>322</v>
      </c>
      <c r="B39" s="27" t="s">
        <v>323</v>
      </c>
      <c r="C39" s="27" t="s">
        <v>354</v>
      </c>
      <c r="D39" s="27" t="s">
        <v>316</v>
      </c>
      <c r="E39" s="27" t="n">
        <v>73580730</v>
      </c>
      <c r="F39" s="27" t="s">
        <v>113</v>
      </c>
      <c r="G39" s="28" t="n">
        <v>5000</v>
      </c>
      <c r="H39" s="27"/>
    </row>
    <row r="40" customFormat="false" ht="15" hidden="false" customHeight="false" outlineLevel="0" collapsed="false">
      <c r="A40" s="27" t="s">
        <v>322</v>
      </c>
      <c r="B40" s="27" t="s">
        <v>323</v>
      </c>
      <c r="C40" s="27" t="s">
        <v>355</v>
      </c>
      <c r="D40" s="27" t="s">
        <v>316</v>
      </c>
      <c r="E40" s="27" t="n">
        <v>74200320</v>
      </c>
      <c r="F40" s="27" t="s">
        <v>121</v>
      </c>
      <c r="G40" s="28" t="n">
        <v>15000</v>
      </c>
      <c r="H40" s="27"/>
    </row>
    <row r="41" customFormat="false" ht="15" hidden="false" customHeight="false" outlineLevel="0" collapsed="false">
      <c r="A41" s="27" t="s">
        <v>322</v>
      </c>
      <c r="B41" s="27" t="s">
        <v>323</v>
      </c>
      <c r="C41" s="27" t="s">
        <v>356</v>
      </c>
      <c r="D41" s="27" t="s">
        <v>316</v>
      </c>
      <c r="E41" s="27" t="n">
        <v>74200320</v>
      </c>
      <c r="F41" s="27" t="s">
        <v>121</v>
      </c>
      <c r="G41" s="28" t="n">
        <v>30000</v>
      </c>
      <c r="H41" s="27"/>
    </row>
    <row r="42" customFormat="false" ht="15" hidden="false" customHeight="false" outlineLevel="0" collapsed="false">
      <c r="A42" s="27" t="s">
        <v>322</v>
      </c>
      <c r="B42" s="27" t="s">
        <v>323</v>
      </c>
      <c r="C42" s="27" t="s">
        <v>357</v>
      </c>
      <c r="D42" s="27" t="s">
        <v>316</v>
      </c>
      <c r="E42" s="27" t="n">
        <v>74200320</v>
      </c>
      <c r="F42" s="27" t="s">
        <v>121</v>
      </c>
      <c r="G42" s="28" t="n">
        <v>130000</v>
      </c>
      <c r="H42" s="27"/>
    </row>
    <row r="43" customFormat="false" ht="15" hidden="false" customHeight="false" outlineLevel="0" collapsed="false">
      <c r="A43" s="27" t="s">
        <v>322</v>
      </c>
      <c r="B43" s="27" t="s">
        <v>323</v>
      </c>
      <c r="C43" s="27" t="s">
        <v>358</v>
      </c>
      <c r="D43" s="27" t="s">
        <v>316</v>
      </c>
      <c r="E43" s="27" t="n">
        <v>74200320</v>
      </c>
      <c r="F43" s="27" t="s">
        <v>121</v>
      </c>
      <c r="G43" s="28" t="n">
        <v>93000</v>
      </c>
      <c r="H43" s="27"/>
    </row>
    <row r="44" customFormat="false" ht="15" hidden="false" customHeight="false" outlineLevel="0" collapsed="false">
      <c r="A44" s="27" t="s">
        <v>322</v>
      </c>
      <c r="B44" s="27" t="s">
        <v>323</v>
      </c>
      <c r="C44" s="27" t="s">
        <v>359</v>
      </c>
      <c r="D44" s="27" t="s">
        <v>316</v>
      </c>
      <c r="E44" s="27" t="n">
        <v>73580740</v>
      </c>
      <c r="F44" s="27" t="s">
        <v>117</v>
      </c>
      <c r="G44" s="28" t="n">
        <v>250000</v>
      </c>
      <c r="H44" s="27"/>
    </row>
    <row r="45" customFormat="false" ht="15" hidden="false" customHeight="false" outlineLevel="0" collapsed="false">
      <c r="A45" s="27" t="s">
        <v>322</v>
      </c>
      <c r="B45" s="27" t="s">
        <v>323</v>
      </c>
      <c r="C45" s="27" t="s">
        <v>360</v>
      </c>
      <c r="D45" s="27" t="s">
        <v>316</v>
      </c>
      <c r="E45" s="27" t="n">
        <v>74200320</v>
      </c>
      <c r="F45" s="27" t="s">
        <v>121</v>
      </c>
      <c r="G45" s="28" t="n">
        <v>28000</v>
      </c>
      <c r="H45" s="27"/>
    </row>
    <row r="46" customFormat="false" ht="15" hidden="false" customHeight="false" outlineLevel="0" collapsed="false">
      <c r="A46" s="27" t="s">
        <v>361</v>
      </c>
      <c r="B46" s="27" t="s">
        <v>362</v>
      </c>
      <c r="C46" s="27" t="s">
        <v>363</v>
      </c>
      <c r="D46" s="27" t="s">
        <v>316</v>
      </c>
      <c r="E46" s="27" t="n">
        <v>73580730</v>
      </c>
      <c r="F46" s="27" t="s">
        <v>113</v>
      </c>
      <c r="G46" s="28" t="n">
        <v>138000</v>
      </c>
      <c r="H46" s="27"/>
    </row>
    <row r="47" customFormat="false" ht="15" hidden="false" customHeight="false" outlineLevel="0" collapsed="false">
      <c r="A47" s="27" t="s">
        <v>361</v>
      </c>
      <c r="B47" s="27" t="s">
        <v>362</v>
      </c>
      <c r="C47" s="27" t="s">
        <v>364</v>
      </c>
      <c r="D47" s="27" t="s">
        <v>316</v>
      </c>
      <c r="E47" s="27" t="n">
        <v>20608888</v>
      </c>
      <c r="F47" s="27" t="s">
        <v>108</v>
      </c>
      <c r="G47" s="28" t="n">
        <v>300000</v>
      </c>
      <c r="H47" s="27"/>
    </row>
    <row r="48" customFormat="false" ht="15" hidden="false" customHeight="false" outlineLevel="0" collapsed="false">
      <c r="A48" s="27" t="s">
        <v>361</v>
      </c>
      <c r="B48" s="27" t="s">
        <v>362</v>
      </c>
      <c r="C48" s="27" t="s">
        <v>365</v>
      </c>
      <c r="D48" s="27" t="s">
        <v>316</v>
      </c>
      <c r="E48" s="27" t="n">
        <v>72830300</v>
      </c>
      <c r="F48" s="27" t="s">
        <v>89</v>
      </c>
      <c r="G48" s="28" t="n">
        <v>12000</v>
      </c>
      <c r="H48" s="27"/>
    </row>
    <row r="49" customFormat="false" ht="15" hidden="false" customHeight="false" outlineLevel="0" collapsed="false">
      <c r="A49" s="27" t="s">
        <v>361</v>
      </c>
      <c r="B49" s="27" t="s">
        <v>362</v>
      </c>
      <c r="C49" s="27" t="s">
        <v>366</v>
      </c>
      <c r="D49" s="27" t="s">
        <v>316</v>
      </c>
      <c r="E49" s="27" t="n">
        <v>73580730</v>
      </c>
      <c r="F49" s="27" t="s">
        <v>113</v>
      </c>
      <c r="G49" s="28" t="n">
        <v>105000</v>
      </c>
      <c r="H49" s="27"/>
    </row>
    <row r="50" customFormat="false" ht="15" hidden="false" customHeight="false" outlineLevel="0" collapsed="false">
      <c r="A50" s="27" t="s">
        <v>361</v>
      </c>
      <c r="B50" s="27" t="s">
        <v>362</v>
      </c>
      <c r="C50" s="27" t="s">
        <v>367</v>
      </c>
      <c r="D50" s="27" t="s">
        <v>316</v>
      </c>
      <c r="E50" s="27" t="n">
        <v>75500405</v>
      </c>
      <c r="F50" s="27" t="s">
        <v>94</v>
      </c>
      <c r="G50" s="28" t="n">
        <v>17000</v>
      </c>
      <c r="H50" s="27"/>
    </row>
    <row r="51" customFormat="false" ht="15" hidden="false" customHeight="false" outlineLevel="0" collapsed="false">
      <c r="A51" s="27" t="s">
        <v>361</v>
      </c>
      <c r="B51" s="27" t="s">
        <v>362</v>
      </c>
      <c r="C51" s="27" t="s">
        <v>368</v>
      </c>
      <c r="D51" s="27" t="s">
        <v>316</v>
      </c>
      <c r="E51" s="27" t="n">
        <v>72830300</v>
      </c>
      <c r="F51" s="27" t="s">
        <v>89</v>
      </c>
      <c r="G51" s="28" t="n">
        <v>2900000</v>
      </c>
      <c r="H51" s="27"/>
    </row>
    <row r="52" customFormat="false" ht="15" hidden="false" customHeight="false" outlineLevel="0" collapsed="false">
      <c r="A52" s="27" t="s">
        <v>361</v>
      </c>
      <c r="B52" s="27" t="s">
        <v>362</v>
      </c>
      <c r="C52" s="27" t="s">
        <v>369</v>
      </c>
      <c r="D52" s="27" t="s">
        <v>316</v>
      </c>
      <c r="E52" s="27" t="n">
        <v>72830300</v>
      </c>
      <c r="F52" s="27" t="s">
        <v>89</v>
      </c>
      <c r="G52" s="28" t="n">
        <v>20000</v>
      </c>
      <c r="H52" s="27"/>
    </row>
    <row r="53" customFormat="false" ht="15" hidden="false" customHeight="false" outlineLevel="0" collapsed="false">
      <c r="A53" s="27" t="s">
        <v>361</v>
      </c>
      <c r="B53" s="27" t="s">
        <v>362</v>
      </c>
      <c r="C53" s="27" t="s">
        <v>370</v>
      </c>
      <c r="D53" s="27" t="s">
        <v>316</v>
      </c>
      <c r="E53" s="27" t="n">
        <v>73580740</v>
      </c>
      <c r="F53" s="27" t="s">
        <v>117</v>
      </c>
      <c r="G53" s="28" t="n">
        <v>50000</v>
      </c>
      <c r="H53" s="27"/>
    </row>
    <row r="54" customFormat="false" ht="15" hidden="false" customHeight="false" outlineLevel="0" collapsed="false">
      <c r="A54" s="27" t="s">
        <v>361</v>
      </c>
      <c r="B54" s="27" t="s">
        <v>362</v>
      </c>
      <c r="C54" s="27" t="s">
        <v>371</v>
      </c>
      <c r="D54" s="27" t="s">
        <v>316</v>
      </c>
      <c r="E54" s="27" t="n">
        <v>72830300</v>
      </c>
      <c r="F54" s="27" t="s">
        <v>89</v>
      </c>
      <c r="G54" s="28" t="n">
        <v>93000</v>
      </c>
      <c r="H54" s="27"/>
    </row>
    <row r="55" customFormat="false" ht="15" hidden="false" customHeight="false" outlineLevel="0" collapsed="false">
      <c r="A55" s="27" t="s">
        <v>361</v>
      </c>
      <c r="B55" s="27" t="s">
        <v>362</v>
      </c>
      <c r="C55" s="27" t="s">
        <v>372</v>
      </c>
      <c r="D55" s="27" t="s">
        <v>316</v>
      </c>
      <c r="E55" s="27" t="n">
        <v>72830100</v>
      </c>
      <c r="F55" s="27" t="s">
        <v>148</v>
      </c>
      <c r="G55" s="28" t="n">
        <v>35000</v>
      </c>
      <c r="H55" s="27"/>
    </row>
    <row r="56" customFormat="false" ht="15" hidden="false" customHeight="false" outlineLevel="0" collapsed="false">
      <c r="A56" s="27" t="s">
        <v>361</v>
      </c>
      <c r="B56" s="27" t="s">
        <v>362</v>
      </c>
      <c r="C56" s="27" t="s">
        <v>373</v>
      </c>
      <c r="D56" s="27" t="s">
        <v>316</v>
      </c>
      <c r="E56" s="27" t="n">
        <v>72830300</v>
      </c>
      <c r="F56" s="27" t="s">
        <v>89</v>
      </c>
      <c r="G56" s="28" t="n">
        <v>600000</v>
      </c>
      <c r="H56" s="27"/>
    </row>
    <row r="57" customFormat="false" ht="15" hidden="false" customHeight="false" outlineLevel="0" collapsed="false">
      <c r="A57" s="27" t="s">
        <v>361</v>
      </c>
      <c r="B57" s="27" t="s">
        <v>362</v>
      </c>
      <c r="C57" s="27" t="s">
        <v>374</v>
      </c>
      <c r="D57" s="27" t="s">
        <v>316</v>
      </c>
      <c r="E57" s="27" t="n">
        <v>72830300</v>
      </c>
      <c r="F57" s="27" t="s">
        <v>89</v>
      </c>
      <c r="G57" s="28" t="n">
        <v>9000</v>
      </c>
      <c r="H57" s="27"/>
    </row>
    <row r="58" customFormat="false" ht="15" hidden="false" customHeight="false" outlineLevel="0" collapsed="false">
      <c r="A58" s="27" t="s">
        <v>361</v>
      </c>
      <c r="B58" s="27" t="s">
        <v>362</v>
      </c>
      <c r="C58" s="27" t="s">
        <v>375</v>
      </c>
      <c r="D58" s="27" t="s">
        <v>316</v>
      </c>
      <c r="E58" s="27" t="n">
        <v>72830100</v>
      </c>
      <c r="F58" s="27" t="s">
        <v>148</v>
      </c>
      <c r="G58" s="28" t="n">
        <v>50000</v>
      </c>
      <c r="H58" s="27"/>
    </row>
    <row r="59" customFormat="false" ht="15" hidden="false" customHeight="false" outlineLevel="0" collapsed="false">
      <c r="A59" s="27" t="s">
        <v>361</v>
      </c>
      <c r="B59" s="27" t="s">
        <v>362</v>
      </c>
      <c r="C59" s="27" t="s">
        <v>376</v>
      </c>
      <c r="D59" s="27" t="s">
        <v>316</v>
      </c>
      <c r="E59" s="27" t="n">
        <v>73580740</v>
      </c>
      <c r="F59" s="27" t="s">
        <v>117</v>
      </c>
      <c r="G59" s="28" t="n">
        <v>223200</v>
      </c>
      <c r="H59" s="27"/>
    </row>
    <row r="60" customFormat="false" ht="15" hidden="false" customHeight="false" outlineLevel="0" collapsed="false">
      <c r="A60" s="27" t="s">
        <v>361</v>
      </c>
      <c r="B60" s="27" t="s">
        <v>362</v>
      </c>
      <c r="C60" s="27" t="s">
        <v>377</v>
      </c>
      <c r="D60" s="27" t="s">
        <v>316</v>
      </c>
      <c r="E60" s="27" t="n">
        <v>73580740</v>
      </c>
      <c r="F60" s="27" t="s">
        <v>117</v>
      </c>
      <c r="G60" s="28" t="n">
        <v>5500</v>
      </c>
      <c r="H60" s="27"/>
    </row>
    <row r="61" customFormat="false" ht="15" hidden="false" customHeight="false" outlineLevel="0" collapsed="false">
      <c r="A61" s="27" t="s">
        <v>361</v>
      </c>
      <c r="B61" s="27" t="s">
        <v>362</v>
      </c>
      <c r="C61" s="27" t="s">
        <v>378</v>
      </c>
      <c r="D61" s="27" t="s">
        <v>316</v>
      </c>
      <c r="E61" s="27" t="n">
        <v>75500405</v>
      </c>
      <c r="F61" s="27" t="s">
        <v>94</v>
      </c>
      <c r="G61" s="28" t="n">
        <v>28000</v>
      </c>
      <c r="H61" s="27"/>
    </row>
    <row r="62" customFormat="false" ht="15" hidden="false" customHeight="false" outlineLevel="0" collapsed="false">
      <c r="A62" s="27" t="s">
        <v>361</v>
      </c>
      <c r="B62" s="27" t="s">
        <v>362</v>
      </c>
      <c r="C62" s="27" t="s">
        <v>379</v>
      </c>
      <c r="D62" s="27" t="s">
        <v>316</v>
      </c>
      <c r="E62" s="27" t="n">
        <v>74200320</v>
      </c>
      <c r="F62" s="27" t="s">
        <v>121</v>
      </c>
      <c r="G62" s="28" t="n">
        <v>25000</v>
      </c>
      <c r="H62" s="27"/>
    </row>
    <row r="63" customFormat="false" ht="15" hidden="false" customHeight="false" outlineLevel="0" collapsed="false">
      <c r="A63" s="27" t="s">
        <v>38</v>
      </c>
      <c r="B63" s="27" t="s">
        <v>380</v>
      </c>
      <c r="C63" s="27" t="s">
        <v>381</v>
      </c>
      <c r="D63" s="27" t="s">
        <v>316</v>
      </c>
      <c r="E63" s="27" t="n">
        <v>72830100</v>
      </c>
      <c r="F63" s="27" t="s">
        <v>148</v>
      </c>
      <c r="G63" s="27"/>
      <c r="H63" s="28" t="n">
        <v>8500</v>
      </c>
    </row>
    <row r="64" customFormat="false" ht="15" hidden="false" customHeight="false" outlineLevel="0" collapsed="false">
      <c r="A64" s="27" t="s">
        <v>38</v>
      </c>
      <c r="B64" s="27" t="s">
        <v>380</v>
      </c>
      <c r="C64" s="27" t="s">
        <v>382</v>
      </c>
      <c r="D64" s="27" t="s">
        <v>316</v>
      </c>
      <c r="E64" s="27" t="n">
        <v>74200320</v>
      </c>
      <c r="F64" s="27" t="s">
        <v>121</v>
      </c>
      <c r="G64" s="27"/>
      <c r="H64" s="28" t="n">
        <v>157000</v>
      </c>
    </row>
    <row r="65" customFormat="false" ht="15" hidden="false" customHeight="false" outlineLevel="0" collapsed="false">
      <c r="A65" s="27" t="s">
        <v>38</v>
      </c>
      <c r="B65" s="27" t="s">
        <v>380</v>
      </c>
      <c r="C65" s="27" t="s">
        <v>383</v>
      </c>
      <c r="D65" s="27" t="s">
        <v>316</v>
      </c>
      <c r="E65" s="27" t="n">
        <v>73580730</v>
      </c>
      <c r="F65" s="27" t="s">
        <v>113</v>
      </c>
      <c r="G65" s="27"/>
      <c r="H65" s="28" t="n">
        <v>45000</v>
      </c>
    </row>
    <row r="66" customFormat="false" ht="15" hidden="false" customHeight="false" outlineLevel="0" collapsed="false">
      <c r="A66" s="27" t="s">
        <v>38</v>
      </c>
      <c r="B66" s="27" t="s">
        <v>380</v>
      </c>
      <c r="C66" s="27" t="s">
        <v>384</v>
      </c>
      <c r="D66" s="27" t="s">
        <v>316</v>
      </c>
      <c r="E66" s="27" t="n">
        <v>74200320</v>
      </c>
      <c r="F66" s="27" t="s">
        <v>121</v>
      </c>
      <c r="G66" s="27"/>
      <c r="H66" s="28" t="n">
        <v>88500</v>
      </c>
    </row>
    <row r="67" customFormat="false" ht="15" hidden="false" customHeight="false" outlineLevel="0" collapsed="false">
      <c r="A67" s="27" t="s">
        <v>38</v>
      </c>
      <c r="B67" s="27" t="s">
        <v>380</v>
      </c>
      <c r="C67" s="27" t="s">
        <v>385</v>
      </c>
      <c r="D67" s="27" t="s">
        <v>316</v>
      </c>
      <c r="E67" s="27" t="n">
        <v>74200320</v>
      </c>
      <c r="F67" s="27" t="s">
        <v>121</v>
      </c>
      <c r="G67" s="27"/>
      <c r="H67" s="28" t="n">
        <v>21000</v>
      </c>
    </row>
    <row r="68" customFormat="false" ht="15" hidden="false" customHeight="false" outlineLevel="0" collapsed="false">
      <c r="A68" s="27" t="s">
        <v>38</v>
      </c>
      <c r="B68" s="27" t="s">
        <v>380</v>
      </c>
      <c r="C68" s="27" t="s">
        <v>386</v>
      </c>
      <c r="D68" s="27" t="s">
        <v>316</v>
      </c>
      <c r="E68" s="27" t="n">
        <v>74200320</v>
      </c>
      <c r="F68" s="27" t="s">
        <v>121</v>
      </c>
      <c r="G68" s="27"/>
      <c r="H68" s="28" t="n">
        <v>84250</v>
      </c>
    </row>
    <row r="69" customFormat="false" ht="15" hidden="false" customHeight="false" outlineLevel="0" collapsed="false">
      <c r="A69" s="27" t="s">
        <v>38</v>
      </c>
      <c r="B69" s="27" t="s">
        <v>380</v>
      </c>
      <c r="C69" s="27" t="s">
        <v>387</v>
      </c>
      <c r="D69" s="27" t="s">
        <v>316</v>
      </c>
      <c r="E69" s="27" t="n">
        <v>74200320</v>
      </c>
      <c r="F69" s="27" t="s">
        <v>121</v>
      </c>
      <c r="G69" s="27"/>
      <c r="H69" s="28" t="n">
        <v>90000</v>
      </c>
    </row>
    <row r="70" customFormat="false" ht="15" hidden="false" customHeight="false" outlineLevel="0" collapsed="false">
      <c r="A70" s="27" t="s">
        <v>38</v>
      </c>
      <c r="B70" s="27" t="s">
        <v>380</v>
      </c>
      <c r="C70" s="27" t="s">
        <v>388</v>
      </c>
      <c r="D70" s="27" t="s">
        <v>316</v>
      </c>
      <c r="E70" s="27" t="n">
        <v>73580740</v>
      </c>
      <c r="F70" s="27" t="s">
        <v>117</v>
      </c>
      <c r="G70" s="27"/>
      <c r="H70" s="28" t="n">
        <v>22500</v>
      </c>
    </row>
    <row r="71" customFormat="false" ht="15" hidden="false" customHeight="false" outlineLevel="0" collapsed="false">
      <c r="A71" s="27" t="s">
        <v>38</v>
      </c>
      <c r="B71" s="27" t="s">
        <v>380</v>
      </c>
      <c r="C71" s="27" t="s">
        <v>389</v>
      </c>
      <c r="D71" s="27" t="s">
        <v>316</v>
      </c>
      <c r="E71" s="27" t="n">
        <v>74200320</v>
      </c>
      <c r="F71" s="27" t="s">
        <v>121</v>
      </c>
      <c r="G71" s="27"/>
      <c r="H71" s="28" t="n">
        <v>30000</v>
      </c>
    </row>
    <row r="72" customFormat="false" ht="15" hidden="false" customHeight="false" outlineLevel="0" collapsed="false">
      <c r="A72" s="27" t="s">
        <v>38</v>
      </c>
      <c r="B72" s="27" t="s">
        <v>380</v>
      </c>
      <c r="C72" s="27" t="s">
        <v>390</v>
      </c>
      <c r="D72" s="27" t="s">
        <v>316</v>
      </c>
      <c r="E72" s="27" t="n">
        <v>74200320</v>
      </c>
      <c r="F72" s="27" t="s">
        <v>121</v>
      </c>
      <c r="G72" s="27"/>
      <c r="H72" s="28" t="n">
        <v>75000</v>
      </c>
    </row>
    <row r="73" customFormat="false" ht="15" hidden="false" customHeight="false" outlineLevel="0" collapsed="false">
      <c r="A73" s="27" t="s">
        <v>38</v>
      </c>
      <c r="B73" s="27" t="s">
        <v>380</v>
      </c>
      <c r="C73" s="27" t="s">
        <v>391</v>
      </c>
      <c r="D73" s="27" t="s">
        <v>316</v>
      </c>
      <c r="E73" s="27" t="n">
        <v>74200320</v>
      </c>
      <c r="F73" s="27" t="s">
        <v>121</v>
      </c>
      <c r="G73" s="27"/>
      <c r="H73" s="28" t="n">
        <v>79000</v>
      </c>
    </row>
    <row r="74" customFormat="false" ht="15" hidden="false" customHeight="false" outlineLevel="0" collapsed="false">
      <c r="A74" s="27" t="s">
        <v>38</v>
      </c>
      <c r="B74" s="27" t="s">
        <v>380</v>
      </c>
      <c r="C74" s="27" t="s">
        <v>392</v>
      </c>
      <c r="D74" s="27" t="s">
        <v>316</v>
      </c>
      <c r="E74" s="27" t="n">
        <v>73580730</v>
      </c>
      <c r="F74" s="27" t="s">
        <v>113</v>
      </c>
      <c r="G74" s="27"/>
      <c r="H74" s="28" t="n">
        <v>70000</v>
      </c>
    </row>
    <row r="75" customFormat="false" ht="15" hidden="false" customHeight="false" outlineLevel="0" collapsed="false">
      <c r="A75" s="27" t="s">
        <v>38</v>
      </c>
      <c r="B75" s="27" t="s">
        <v>380</v>
      </c>
      <c r="C75" s="27" t="s">
        <v>393</v>
      </c>
      <c r="D75" s="27" t="s">
        <v>316</v>
      </c>
      <c r="E75" s="27" t="n">
        <v>74200320</v>
      </c>
      <c r="F75" s="27" t="s">
        <v>121</v>
      </c>
      <c r="G75" s="27"/>
      <c r="H75" s="28" t="n">
        <v>197000</v>
      </c>
    </row>
    <row r="76" customFormat="false" ht="15" hidden="false" customHeight="false" outlineLevel="0" collapsed="false">
      <c r="A76" s="27" t="s">
        <v>38</v>
      </c>
      <c r="B76" s="27" t="s">
        <v>380</v>
      </c>
      <c r="C76" s="27" t="s">
        <v>394</v>
      </c>
      <c r="D76" s="27" t="s">
        <v>316</v>
      </c>
      <c r="E76" s="27" t="n">
        <v>74200320</v>
      </c>
      <c r="F76" s="27" t="s">
        <v>121</v>
      </c>
      <c r="G76" s="27"/>
      <c r="H76" s="28" t="n">
        <v>7165000</v>
      </c>
    </row>
    <row r="77" customFormat="false" ht="15" hidden="false" customHeight="false" outlineLevel="0" collapsed="false">
      <c r="A77" s="27" t="s">
        <v>38</v>
      </c>
      <c r="B77" s="27" t="s">
        <v>380</v>
      </c>
      <c r="C77" s="27" t="s">
        <v>395</v>
      </c>
      <c r="D77" s="27" t="s">
        <v>316</v>
      </c>
      <c r="E77" s="27" t="n">
        <v>74200320</v>
      </c>
      <c r="F77" s="27" t="s">
        <v>121</v>
      </c>
      <c r="G77" s="27"/>
      <c r="H77" s="28" t="n">
        <v>26200</v>
      </c>
    </row>
    <row r="78" customFormat="false" ht="15" hidden="false" customHeight="false" outlineLevel="0" collapsed="false">
      <c r="A78" s="27" t="s">
        <v>38</v>
      </c>
      <c r="B78" s="27" t="s">
        <v>380</v>
      </c>
      <c r="C78" s="27" t="s">
        <v>396</v>
      </c>
      <c r="D78" s="27" t="s">
        <v>316</v>
      </c>
      <c r="E78" s="27" t="n">
        <v>74200320</v>
      </c>
      <c r="F78" s="27" t="s">
        <v>121</v>
      </c>
      <c r="G78" s="27"/>
      <c r="H78" s="28" t="n">
        <v>40000</v>
      </c>
    </row>
    <row r="79" customFormat="false" ht="15" hidden="false" customHeight="false" outlineLevel="0" collapsed="false">
      <c r="A79" s="27" t="s">
        <v>38</v>
      </c>
      <c r="B79" s="27" t="s">
        <v>380</v>
      </c>
      <c r="C79" s="27" t="s">
        <v>397</v>
      </c>
      <c r="D79" s="27" t="s">
        <v>316</v>
      </c>
      <c r="E79" s="27" t="n">
        <v>72830100</v>
      </c>
      <c r="F79" s="27" t="s">
        <v>148</v>
      </c>
      <c r="G79" s="27"/>
      <c r="H79" s="28" t="n">
        <v>3000</v>
      </c>
    </row>
    <row r="80" customFormat="false" ht="15" hidden="false" customHeight="false" outlineLevel="0" collapsed="false">
      <c r="A80" s="27" t="s">
        <v>38</v>
      </c>
      <c r="B80" s="27" t="s">
        <v>380</v>
      </c>
      <c r="C80" s="27" t="s">
        <v>398</v>
      </c>
      <c r="D80" s="27" t="s">
        <v>316</v>
      </c>
      <c r="E80" s="27" t="n">
        <v>75500405</v>
      </c>
      <c r="F80" s="27" t="s">
        <v>94</v>
      </c>
      <c r="G80" s="27"/>
      <c r="H80" s="28" t="n">
        <v>17500</v>
      </c>
    </row>
    <row r="81" customFormat="false" ht="15" hidden="false" customHeight="false" outlineLevel="0" collapsed="false">
      <c r="A81" s="27" t="s">
        <v>38</v>
      </c>
      <c r="B81" s="27" t="s">
        <v>380</v>
      </c>
      <c r="C81" s="27" t="s">
        <v>399</v>
      </c>
      <c r="D81" s="27" t="s">
        <v>316</v>
      </c>
      <c r="E81" s="27" t="n">
        <v>74200320</v>
      </c>
      <c r="F81" s="27" t="s">
        <v>121</v>
      </c>
      <c r="G81" s="27"/>
      <c r="H81" s="28" t="n">
        <v>54500</v>
      </c>
    </row>
    <row r="82" customFormat="false" ht="15" hidden="false" customHeight="false" outlineLevel="0" collapsed="false">
      <c r="A82" s="27" t="s">
        <v>38</v>
      </c>
      <c r="B82" s="27" t="s">
        <v>380</v>
      </c>
      <c r="C82" s="27" t="s">
        <v>400</v>
      </c>
      <c r="D82" s="27" t="s">
        <v>316</v>
      </c>
      <c r="E82" s="27" t="n">
        <v>75500405</v>
      </c>
      <c r="F82" s="27" t="s">
        <v>94</v>
      </c>
      <c r="G82" s="27"/>
      <c r="H82" s="28" t="n">
        <v>60000</v>
      </c>
    </row>
    <row r="83" customFormat="false" ht="15" hidden="false" customHeight="false" outlineLevel="0" collapsed="false">
      <c r="A83" s="27" t="s">
        <v>38</v>
      </c>
      <c r="B83" s="27" t="s">
        <v>380</v>
      </c>
      <c r="C83" s="27" t="s">
        <v>401</v>
      </c>
      <c r="D83" s="27" t="s">
        <v>316</v>
      </c>
      <c r="E83" s="27" t="n">
        <v>74200320</v>
      </c>
      <c r="F83" s="27" t="s">
        <v>121</v>
      </c>
      <c r="G83" s="27"/>
      <c r="H83" s="28" t="n">
        <v>17500</v>
      </c>
    </row>
    <row r="84" customFormat="false" ht="15" hidden="false" customHeight="false" outlineLevel="0" collapsed="false">
      <c r="A84" s="27" t="s">
        <v>38</v>
      </c>
      <c r="B84" s="27" t="s">
        <v>380</v>
      </c>
      <c r="C84" s="27" t="s">
        <v>402</v>
      </c>
      <c r="D84" s="27" t="s">
        <v>316</v>
      </c>
      <c r="E84" s="27" t="n">
        <v>74200320</v>
      </c>
      <c r="F84" s="27" t="s">
        <v>121</v>
      </c>
      <c r="G84" s="27"/>
      <c r="H84" s="28" t="n">
        <v>31100</v>
      </c>
    </row>
    <row r="85" customFormat="false" ht="15" hidden="false" customHeight="false" outlineLevel="0" collapsed="false">
      <c r="A85" s="27" t="s">
        <v>38</v>
      </c>
      <c r="B85" s="27" t="s">
        <v>380</v>
      </c>
      <c r="C85" s="27" t="s">
        <v>403</v>
      </c>
      <c r="D85" s="27" t="s">
        <v>316</v>
      </c>
      <c r="E85" s="27" t="n">
        <v>74200320</v>
      </c>
      <c r="F85" s="27" t="s">
        <v>121</v>
      </c>
      <c r="G85" s="27"/>
      <c r="H85" s="28" t="n">
        <v>20000</v>
      </c>
    </row>
    <row r="86" customFormat="false" ht="15" hidden="false" customHeight="false" outlineLevel="0" collapsed="false">
      <c r="A86" s="27" t="s">
        <v>38</v>
      </c>
      <c r="B86" s="27" t="s">
        <v>380</v>
      </c>
      <c r="C86" s="27" t="s">
        <v>404</v>
      </c>
      <c r="D86" s="27" t="s">
        <v>316</v>
      </c>
      <c r="E86" s="27" t="n">
        <v>75500400</v>
      </c>
      <c r="F86" s="27" t="s">
        <v>179</v>
      </c>
      <c r="G86" s="27"/>
      <c r="H86" s="28" t="n">
        <v>5000</v>
      </c>
    </row>
    <row r="87" customFormat="false" ht="15" hidden="false" customHeight="false" outlineLevel="0" collapsed="false">
      <c r="A87" s="27" t="s">
        <v>38</v>
      </c>
      <c r="B87" s="27" t="s">
        <v>380</v>
      </c>
      <c r="C87" s="27" t="s">
        <v>405</v>
      </c>
      <c r="D87" s="27" t="s">
        <v>316</v>
      </c>
      <c r="E87" s="27" t="n">
        <v>73580740</v>
      </c>
      <c r="F87" s="27" t="s">
        <v>117</v>
      </c>
      <c r="G87" s="27"/>
      <c r="H87" s="28" t="n">
        <v>680000</v>
      </c>
    </row>
    <row r="88" customFormat="false" ht="15" hidden="false" customHeight="false" outlineLevel="0" collapsed="false">
      <c r="A88" s="27" t="s">
        <v>38</v>
      </c>
      <c r="B88" s="27" t="s">
        <v>380</v>
      </c>
      <c r="C88" s="27" t="s">
        <v>406</v>
      </c>
      <c r="D88" s="27" t="s">
        <v>316</v>
      </c>
      <c r="E88" s="27" t="n">
        <v>75500405</v>
      </c>
      <c r="F88" s="27" t="s">
        <v>94</v>
      </c>
      <c r="G88" s="27"/>
      <c r="H88" s="28" t="n">
        <v>22500</v>
      </c>
    </row>
    <row r="89" customFormat="false" ht="15" hidden="false" customHeight="false" outlineLevel="0" collapsed="false">
      <c r="A89" s="27" t="s">
        <v>38</v>
      </c>
      <c r="B89" s="27" t="s">
        <v>380</v>
      </c>
      <c r="C89" s="27" t="s">
        <v>407</v>
      </c>
      <c r="D89" s="27" t="s">
        <v>316</v>
      </c>
      <c r="E89" s="27" t="n">
        <v>73580740</v>
      </c>
      <c r="F89" s="27" t="s">
        <v>117</v>
      </c>
      <c r="G89" s="27"/>
      <c r="H89" s="28" t="n">
        <v>10000</v>
      </c>
    </row>
    <row r="90" customFormat="false" ht="15" hidden="false" customHeight="false" outlineLevel="0" collapsed="false">
      <c r="A90" s="27" t="s">
        <v>38</v>
      </c>
      <c r="B90" s="27" t="s">
        <v>380</v>
      </c>
      <c r="C90" s="27" t="s">
        <v>408</v>
      </c>
      <c r="D90" s="27" t="s">
        <v>316</v>
      </c>
      <c r="E90" s="27" t="n">
        <v>73580740</v>
      </c>
      <c r="F90" s="27" t="s">
        <v>117</v>
      </c>
      <c r="G90" s="27"/>
      <c r="H90" s="28" t="n">
        <v>490000</v>
      </c>
    </row>
    <row r="91" customFormat="false" ht="15" hidden="false" customHeight="false" outlineLevel="0" collapsed="false">
      <c r="A91" s="27" t="s">
        <v>38</v>
      </c>
      <c r="B91" s="27" t="s">
        <v>380</v>
      </c>
      <c r="C91" s="27" t="s">
        <v>409</v>
      </c>
      <c r="D91" s="27" t="s">
        <v>316</v>
      </c>
      <c r="E91" s="27" t="n">
        <v>73580730</v>
      </c>
      <c r="F91" s="27" t="s">
        <v>113</v>
      </c>
      <c r="G91" s="27"/>
      <c r="H91" s="28" t="n">
        <v>285000</v>
      </c>
    </row>
    <row r="92" customFormat="false" ht="15" hidden="false" customHeight="false" outlineLevel="0" collapsed="false">
      <c r="A92" s="27" t="s">
        <v>38</v>
      </c>
      <c r="B92" s="27" t="s">
        <v>380</v>
      </c>
      <c r="C92" s="27" t="s">
        <v>410</v>
      </c>
      <c r="D92" s="27" t="s">
        <v>316</v>
      </c>
      <c r="E92" s="27" t="n">
        <v>73580730</v>
      </c>
      <c r="F92" s="27" t="s">
        <v>113</v>
      </c>
      <c r="G92" s="27"/>
      <c r="H92" s="28" t="n">
        <v>5000</v>
      </c>
    </row>
    <row r="93" customFormat="false" ht="15" hidden="false" customHeight="false" outlineLevel="0" collapsed="false">
      <c r="A93" s="27" t="s">
        <v>38</v>
      </c>
      <c r="B93" s="27" t="s">
        <v>380</v>
      </c>
      <c r="C93" s="27" t="s">
        <v>411</v>
      </c>
      <c r="D93" s="27" t="s">
        <v>316</v>
      </c>
      <c r="E93" s="27" t="n">
        <v>72830100</v>
      </c>
      <c r="F93" s="27" t="s">
        <v>148</v>
      </c>
      <c r="G93" s="27"/>
      <c r="H93" s="28" t="n">
        <v>1500</v>
      </c>
    </row>
    <row r="94" customFormat="false" ht="15" hidden="false" customHeight="false" outlineLevel="0" collapsed="false">
      <c r="A94" s="27" t="s">
        <v>38</v>
      </c>
      <c r="B94" s="27" t="s">
        <v>380</v>
      </c>
      <c r="C94" s="27" t="s">
        <v>412</v>
      </c>
      <c r="D94" s="27" t="s">
        <v>316</v>
      </c>
      <c r="E94" s="27" t="n">
        <v>74200320</v>
      </c>
      <c r="F94" s="27" t="s">
        <v>121</v>
      </c>
      <c r="G94" s="27"/>
      <c r="H94" s="28" t="n">
        <v>93000</v>
      </c>
    </row>
    <row r="95" customFormat="false" ht="15" hidden="false" customHeight="false" outlineLevel="0" collapsed="false">
      <c r="A95" s="27" t="s">
        <v>38</v>
      </c>
      <c r="B95" s="27" t="s">
        <v>380</v>
      </c>
      <c r="C95" s="27" t="s">
        <v>413</v>
      </c>
      <c r="D95" s="27" t="s">
        <v>316</v>
      </c>
      <c r="E95" s="27" t="n">
        <v>74200320</v>
      </c>
      <c r="F95" s="27" t="s">
        <v>121</v>
      </c>
      <c r="G95" s="27"/>
      <c r="H95" s="28" t="n">
        <v>15500</v>
      </c>
    </row>
    <row r="96" customFormat="false" ht="15" hidden="false" customHeight="false" outlineLevel="0" collapsed="false">
      <c r="A96" s="27" t="s">
        <v>38</v>
      </c>
      <c r="B96" s="27" t="s">
        <v>380</v>
      </c>
      <c r="C96" s="27" t="s">
        <v>414</v>
      </c>
      <c r="D96" s="27" t="s">
        <v>316</v>
      </c>
      <c r="E96" s="27" t="n">
        <v>74200320</v>
      </c>
      <c r="F96" s="27" t="s">
        <v>121</v>
      </c>
      <c r="G96" s="27"/>
      <c r="H96" s="28" t="n">
        <v>122000</v>
      </c>
    </row>
    <row r="97" customFormat="false" ht="15" hidden="false" customHeight="false" outlineLevel="0" collapsed="false">
      <c r="A97" s="27" t="s">
        <v>38</v>
      </c>
      <c r="B97" s="27" t="s">
        <v>380</v>
      </c>
      <c r="C97" s="27" t="s">
        <v>415</v>
      </c>
      <c r="D97" s="27" t="s">
        <v>316</v>
      </c>
      <c r="E97" s="27" t="n">
        <v>73580730</v>
      </c>
      <c r="F97" s="27" t="s">
        <v>113</v>
      </c>
      <c r="G97" s="27"/>
      <c r="H97" s="28" t="n">
        <v>50000</v>
      </c>
    </row>
    <row r="98" customFormat="false" ht="15" hidden="false" customHeight="false" outlineLevel="0" collapsed="false">
      <c r="A98" s="27" t="s">
        <v>38</v>
      </c>
      <c r="B98" s="27" t="s">
        <v>380</v>
      </c>
      <c r="C98" s="27" t="s">
        <v>416</v>
      </c>
      <c r="D98" s="27" t="s">
        <v>316</v>
      </c>
      <c r="E98" s="27" t="n">
        <v>74200320</v>
      </c>
      <c r="F98" s="27" t="s">
        <v>121</v>
      </c>
      <c r="G98" s="27"/>
      <c r="H98" s="28" t="n">
        <v>225000</v>
      </c>
    </row>
    <row r="99" customFormat="false" ht="15" hidden="false" customHeight="false" outlineLevel="0" collapsed="false">
      <c r="A99" s="27" t="s">
        <v>38</v>
      </c>
      <c r="B99" s="27" t="s">
        <v>380</v>
      </c>
      <c r="C99" s="27" t="s">
        <v>417</v>
      </c>
      <c r="D99" s="27" t="s">
        <v>316</v>
      </c>
      <c r="E99" s="27" t="n">
        <v>73580730</v>
      </c>
      <c r="F99" s="27" t="s">
        <v>113</v>
      </c>
      <c r="G99" s="27"/>
      <c r="H99" s="28" t="n">
        <v>20000</v>
      </c>
    </row>
    <row r="100" customFormat="false" ht="15" hidden="false" customHeight="false" outlineLevel="0" collapsed="false">
      <c r="A100" s="27" t="s">
        <v>38</v>
      </c>
      <c r="B100" s="27" t="s">
        <v>380</v>
      </c>
      <c r="C100" s="27" t="s">
        <v>418</v>
      </c>
      <c r="D100" s="27" t="s">
        <v>316</v>
      </c>
      <c r="E100" s="27" t="n">
        <v>74200320</v>
      </c>
      <c r="F100" s="27" t="s">
        <v>121</v>
      </c>
      <c r="G100" s="27"/>
      <c r="H100" s="28" t="n">
        <v>27500</v>
      </c>
    </row>
    <row r="101" customFormat="false" ht="15" hidden="false" customHeight="false" outlineLevel="0" collapsed="false">
      <c r="A101" s="27" t="s">
        <v>38</v>
      </c>
      <c r="B101" s="27" t="s">
        <v>380</v>
      </c>
      <c r="C101" s="27" t="s">
        <v>419</v>
      </c>
      <c r="D101" s="27" t="s">
        <v>316</v>
      </c>
      <c r="E101" s="27" t="n">
        <v>74200320</v>
      </c>
      <c r="F101" s="27" t="s">
        <v>121</v>
      </c>
      <c r="G101" s="27"/>
      <c r="H101" s="28" t="n">
        <v>15000</v>
      </c>
    </row>
    <row r="102" customFormat="false" ht="15" hidden="false" customHeight="false" outlineLevel="0" collapsed="false">
      <c r="A102" s="27" t="s">
        <v>38</v>
      </c>
      <c r="B102" s="27" t="s">
        <v>380</v>
      </c>
      <c r="C102" s="27" t="s">
        <v>420</v>
      </c>
      <c r="D102" s="27" t="s">
        <v>316</v>
      </c>
      <c r="E102" s="27" t="n">
        <v>72830100</v>
      </c>
      <c r="F102" s="27" t="s">
        <v>148</v>
      </c>
      <c r="G102" s="27"/>
      <c r="H102" s="28" t="n">
        <v>500</v>
      </c>
    </row>
    <row r="103" customFormat="false" ht="15" hidden="false" customHeight="false" outlineLevel="0" collapsed="false">
      <c r="A103" s="27" t="s">
        <v>38</v>
      </c>
      <c r="B103" s="27" t="s">
        <v>380</v>
      </c>
      <c r="C103" s="27" t="s">
        <v>421</v>
      </c>
      <c r="D103" s="27" t="s">
        <v>316</v>
      </c>
      <c r="E103" s="27" t="n">
        <v>74200320</v>
      </c>
      <c r="F103" s="27" t="s">
        <v>121</v>
      </c>
      <c r="G103" s="27"/>
      <c r="H103" s="28" t="n">
        <v>24000</v>
      </c>
    </row>
    <row r="104" customFormat="false" ht="15" hidden="false" customHeight="false" outlineLevel="0" collapsed="false">
      <c r="A104" s="27" t="s">
        <v>38</v>
      </c>
      <c r="B104" s="27" t="s">
        <v>380</v>
      </c>
      <c r="C104" s="27" t="s">
        <v>422</v>
      </c>
      <c r="D104" s="27" t="s">
        <v>316</v>
      </c>
      <c r="E104" s="27" t="n">
        <v>72830300</v>
      </c>
      <c r="F104" s="27" t="s">
        <v>89</v>
      </c>
      <c r="G104" s="27"/>
      <c r="H104" s="28" t="n">
        <v>45</v>
      </c>
    </row>
    <row r="105" customFormat="false" ht="15" hidden="false" customHeight="false" outlineLevel="0" collapsed="false">
      <c r="A105" s="27" t="s">
        <v>38</v>
      </c>
      <c r="B105" s="27" t="s">
        <v>380</v>
      </c>
      <c r="C105" s="27" t="s">
        <v>423</v>
      </c>
      <c r="D105" s="27" t="s">
        <v>316</v>
      </c>
      <c r="E105" s="27" t="n">
        <v>73580740</v>
      </c>
      <c r="F105" s="27" t="s">
        <v>117</v>
      </c>
      <c r="G105" s="27"/>
      <c r="H105" s="28" t="n">
        <v>250000</v>
      </c>
    </row>
    <row r="106" customFormat="false" ht="15" hidden="false" customHeight="false" outlineLevel="0" collapsed="false">
      <c r="A106" s="27" t="s">
        <v>38</v>
      </c>
      <c r="B106" s="27" t="s">
        <v>380</v>
      </c>
      <c r="C106" s="27" t="s">
        <v>424</v>
      </c>
      <c r="D106" s="27" t="s">
        <v>316</v>
      </c>
      <c r="E106" s="27" t="n">
        <v>73580730</v>
      </c>
      <c r="F106" s="27" t="s">
        <v>113</v>
      </c>
      <c r="G106" s="27"/>
      <c r="H106" s="28" t="n">
        <v>60000</v>
      </c>
    </row>
    <row r="107" customFormat="false" ht="15" hidden="false" customHeight="false" outlineLevel="0" collapsed="false">
      <c r="A107" s="27" t="s">
        <v>35</v>
      </c>
      <c r="B107" s="27" t="s">
        <v>36</v>
      </c>
      <c r="C107" s="27" t="s">
        <v>425</v>
      </c>
      <c r="D107" s="27" t="s">
        <v>316</v>
      </c>
      <c r="E107" s="27" t="n">
        <v>73580740</v>
      </c>
      <c r="F107" s="27" t="s">
        <v>117</v>
      </c>
      <c r="G107" s="27"/>
      <c r="H107" s="28" t="n">
        <v>223200</v>
      </c>
    </row>
    <row r="108" customFormat="false" ht="15" hidden="false" customHeight="false" outlineLevel="0" collapsed="false">
      <c r="A108" s="27" t="s">
        <v>35</v>
      </c>
      <c r="B108" s="27" t="s">
        <v>36</v>
      </c>
      <c r="C108" s="27" t="s">
        <v>426</v>
      </c>
      <c r="D108" s="27" t="s">
        <v>316</v>
      </c>
      <c r="E108" s="27" t="n">
        <v>73580730</v>
      </c>
      <c r="F108" s="27" t="s">
        <v>113</v>
      </c>
      <c r="G108" s="27"/>
      <c r="H108" s="28" t="n">
        <v>140000</v>
      </c>
    </row>
    <row r="109" customFormat="false" ht="15" hidden="false" customHeight="false" outlineLevel="0" collapsed="false">
      <c r="A109" s="27" t="s">
        <v>35</v>
      </c>
      <c r="B109" s="27" t="s">
        <v>36</v>
      </c>
      <c r="C109" s="27" t="s">
        <v>427</v>
      </c>
      <c r="D109" s="27" t="s">
        <v>316</v>
      </c>
      <c r="E109" s="27" t="n">
        <v>73580740</v>
      </c>
      <c r="F109" s="27" t="s">
        <v>117</v>
      </c>
      <c r="G109" s="27"/>
      <c r="H109" s="28" t="n">
        <v>50000</v>
      </c>
    </row>
    <row r="110" customFormat="false" ht="15" hidden="false" customHeight="false" outlineLevel="0" collapsed="false">
      <c r="A110" s="27" t="s">
        <v>35</v>
      </c>
      <c r="B110" s="27" t="s">
        <v>36</v>
      </c>
      <c r="C110" s="27" t="s">
        <v>428</v>
      </c>
      <c r="D110" s="27" t="s">
        <v>316</v>
      </c>
      <c r="E110" s="27" t="n">
        <v>74200320</v>
      </c>
      <c r="F110" s="27" t="s">
        <v>121</v>
      </c>
      <c r="G110" s="27"/>
      <c r="H110" s="28" t="n">
        <v>400000</v>
      </c>
    </row>
    <row r="111" customFormat="false" ht="15" hidden="false" customHeight="false" outlineLevel="0" collapsed="false">
      <c r="A111" s="27" t="s">
        <v>35</v>
      </c>
      <c r="B111" s="27" t="s">
        <v>36</v>
      </c>
      <c r="C111" s="27" t="s">
        <v>429</v>
      </c>
      <c r="D111" s="27" t="s">
        <v>316</v>
      </c>
      <c r="E111" s="27" t="n">
        <v>72830100</v>
      </c>
      <c r="F111" s="27" t="s">
        <v>148</v>
      </c>
      <c r="G111" s="27"/>
      <c r="H111" s="28" t="n">
        <v>35000</v>
      </c>
    </row>
    <row r="112" customFormat="false" ht="15" hidden="false" customHeight="false" outlineLevel="0" collapsed="false">
      <c r="A112" s="27" t="s">
        <v>35</v>
      </c>
      <c r="B112" s="27" t="s">
        <v>36</v>
      </c>
      <c r="C112" s="27" t="s">
        <v>430</v>
      </c>
      <c r="D112" s="27" t="s">
        <v>316</v>
      </c>
      <c r="E112" s="27" t="n">
        <v>74200320</v>
      </c>
      <c r="F112" s="27" t="s">
        <v>121</v>
      </c>
      <c r="G112" s="27"/>
      <c r="H112" s="28" t="n">
        <v>25600</v>
      </c>
    </row>
    <row r="113" customFormat="false" ht="15" hidden="false" customHeight="false" outlineLevel="0" collapsed="false">
      <c r="A113" s="27" t="s">
        <v>35</v>
      </c>
      <c r="B113" s="27" t="s">
        <v>36</v>
      </c>
      <c r="C113" s="27" t="s">
        <v>431</v>
      </c>
      <c r="D113" s="27" t="s">
        <v>316</v>
      </c>
      <c r="E113" s="27" t="n">
        <v>74200320</v>
      </c>
      <c r="F113" s="27" t="s">
        <v>121</v>
      </c>
      <c r="G113" s="27"/>
      <c r="H113" s="28" t="n">
        <v>1100000</v>
      </c>
    </row>
    <row r="114" customFormat="false" ht="15" hidden="false" customHeight="false" outlineLevel="0" collapsed="false">
      <c r="A114" s="27" t="s">
        <v>35</v>
      </c>
      <c r="B114" s="27" t="s">
        <v>36</v>
      </c>
      <c r="C114" s="27" t="s">
        <v>432</v>
      </c>
      <c r="D114" s="27" t="s">
        <v>316</v>
      </c>
      <c r="E114" s="27" t="n">
        <v>73580740</v>
      </c>
      <c r="F114" s="27" t="s">
        <v>117</v>
      </c>
      <c r="G114" s="27"/>
      <c r="H114" s="28" t="n">
        <v>120000</v>
      </c>
    </row>
    <row r="115" customFormat="false" ht="15" hidden="false" customHeight="false" outlineLevel="0" collapsed="false">
      <c r="A115" s="27" t="s">
        <v>35</v>
      </c>
      <c r="B115" s="27" t="s">
        <v>36</v>
      </c>
      <c r="C115" s="27" t="s">
        <v>433</v>
      </c>
      <c r="D115" s="27" t="s">
        <v>316</v>
      </c>
      <c r="E115" s="27" t="n">
        <v>74200320</v>
      </c>
      <c r="F115" s="27" t="s">
        <v>121</v>
      </c>
      <c r="G115" s="27"/>
      <c r="H115" s="28" t="n">
        <v>200000</v>
      </c>
    </row>
    <row r="116" customFormat="false" ht="15" hidden="false" customHeight="false" outlineLevel="0" collapsed="false">
      <c r="A116" s="27" t="s">
        <v>35</v>
      </c>
      <c r="B116" s="27" t="s">
        <v>36</v>
      </c>
      <c r="C116" s="27" t="s">
        <v>434</v>
      </c>
      <c r="D116" s="27" t="s">
        <v>316</v>
      </c>
      <c r="E116" s="27" t="n">
        <v>75500405</v>
      </c>
      <c r="F116" s="27" t="s">
        <v>94</v>
      </c>
      <c r="G116" s="27"/>
      <c r="H116" s="28" t="n">
        <v>18000</v>
      </c>
    </row>
    <row r="117" customFormat="false" ht="15" hidden="false" customHeight="false" outlineLevel="0" collapsed="false">
      <c r="A117" s="27" t="s">
        <v>35</v>
      </c>
      <c r="B117" s="27" t="s">
        <v>36</v>
      </c>
      <c r="C117" s="27" t="s">
        <v>435</v>
      </c>
      <c r="D117" s="27" t="s">
        <v>316</v>
      </c>
      <c r="E117" s="27" t="n">
        <v>73580730</v>
      </c>
      <c r="F117" s="27" t="s">
        <v>113</v>
      </c>
      <c r="G117" s="27"/>
      <c r="H117" s="28" t="n">
        <v>800000</v>
      </c>
    </row>
    <row r="118" customFormat="false" ht="15" hidden="false" customHeight="false" outlineLevel="0" collapsed="false">
      <c r="A118" s="27" t="s">
        <v>35</v>
      </c>
      <c r="B118" s="27" t="s">
        <v>36</v>
      </c>
      <c r="C118" s="27" t="s">
        <v>436</v>
      </c>
      <c r="D118" s="27" t="s">
        <v>316</v>
      </c>
      <c r="E118" s="27" t="n">
        <v>72830100</v>
      </c>
      <c r="F118" s="27" t="s">
        <v>148</v>
      </c>
      <c r="G118" s="27"/>
      <c r="H118" s="28" t="n">
        <v>60000</v>
      </c>
    </row>
    <row r="119" customFormat="false" ht="15" hidden="false" customHeight="false" outlineLevel="0" collapsed="false">
      <c r="A119" s="27" t="s">
        <v>35</v>
      </c>
      <c r="B119" s="27" t="s">
        <v>36</v>
      </c>
      <c r="C119" s="27" t="s">
        <v>437</v>
      </c>
      <c r="D119" s="27" t="s">
        <v>316</v>
      </c>
      <c r="E119" s="27" t="n">
        <v>72830300</v>
      </c>
      <c r="F119" s="27" t="s">
        <v>89</v>
      </c>
      <c r="G119" s="27"/>
      <c r="H119" s="28" t="n">
        <v>20000</v>
      </c>
    </row>
    <row r="120" customFormat="false" ht="15" hidden="false" customHeight="false" outlineLevel="0" collapsed="false">
      <c r="A120" s="27" t="s">
        <v>35</v>
      </c>
      <c r="B120" s="27" t="s">
        <v>36</v>
      </c>
      <c r="C120" s="27" t="s">
        <v>438</v>
      </c>
      <c r="D120" s="27" t="s">
        <v>316</v>
      </c>
      <c r="E120" s="27" t="n">
        <v>74200320</v>
      </c>
      <c r="F120" s="27" t="s">
        <v>121</v>
      </c>
      <c r="G120" s="27"/>
      <c r="H120" s="28" t="n">
        <v>50000</v>
      </c>
    </row>
    <row r="121" customFormat="false" ht="15" hidden="false" customHeight="false" outlineLevel="0" collapsed="false">
      <c r="A121" s="27" t="s">
        <v>35</v>
      </c>
      <c r="B121" s="27" t="s">
        <v>36</v>
      </c>
      <c r="C121" s="27" t="s">
        <v>439</v>
      </c>
      <c r="D121" s="27" t="s">
        <v>316</v>
      </c>
      <c r="E121" s="27" t="n">
        <v>72830300</v>
      </c>
      <c r="F121" s="27" t="s">
        <v>89</v>
      </c>
      <c r="G121" s="27"/>
      <c r="H121" s="28" t="n">
        <v>3000000</v>
      </c>
    </row>
    <row r="122" customFormat="false" ht="15" hidden="false" customHeight="false" outlineLevel="0" collapsed="false">
      <c r="A122" s="27" t="s">
        <v>35</v>
      </c>
      <c r="B122" s="27" t="s">
        <v>36</v>
      </c>
      <c r="C122" s="27" t="s">
        <v>440</v>
      </c>
      <c r="D122" s="27" t="s">
        <v>316</v>
      </c>
      <c r="E122" s="27" t="n">
        <v>20608888</v>
      </c>
      <c r="F122" s="27" t="s">
        <v>108</v>
      </c>
      <c r="G122" s="27"/>
      <c r="H122" s="28" t="n">
        <v>300000</v>
      </c>
    </row>
    <row r="123" customFormat="false" ht="15" hidden="false" customHeight="false" outlineLevel="0" collapsed="false">
      <c r="A123" s="27" t="s">
        <v>35</v>
      </c>
      <c r="B123" s="27" t="s">
        <v>36</v>
      </c>
      <c r="C123" s="27" t="s">
        <v>441</v>
      </c>
      <c r="D123" s="27" t="s">
        <v>316</v>
      </c>
      <c r="E123" s="27" t="n">
        <v>75500405</v>
      </c>
      <c r="F123" s="27" t="s">
        <v>94</v>
      </c>
      <c r="G123" s="27"/>
      <c r="H123" s="28" t="n">
        <v>30000</v>
      </c>
    </row>
    <row r="124" customFormat="false" ht="15" hidden="false" customHeight="false" outlineLevel="0" collapsed="false">
      <c r="A124" s="27" t="s">
        <v>35</v>
      </c>
      <c r="B124" s="27" t="s">
        <v>36</v>
      </c>
      <c r="C124" s="27" t="s">
        <v>442</v>
      </c>
      <c r="D124" s="27" t="s">
        <v>316</v>
      </c>
      <c r="E124" s="27" t="n">
        <v>73580730</v>
      </c>
      <c r="F124" s="27" t="s">
        <v>113</v>
      </c>
      <c r="G124" s="27"/>
      <c r="H124" s="28" t="n">
        <v>142200</v>
      </c>
    </row>
    <row r="125" customFormat="false" ht="15" hidden="false" customHeight="false" outlineLevel="0" collapsed="false">
      <c r="A125" s="27" t="s">
        <v>35</v>
      </c>
      <c r="B125" s="27" t="s">
        <v>36</v>
      </c>
      <c r="C125" s="27" t="s">
        <v>443</v>
      </c>
      <c r="D125" s="27" t="s">
        <v>316</v>
      </c>
      <c r="E125" s="27" t="n">
        <v>72830300</v>
      </c>
      <c r="F125" s="27" t="s">
        <v>89</v>
      </c>
      <c r="G125" s="27"/>
      <c r="H125" s="28" t="n">
        <v>115000</v>
      </c>
    </row>
    <row r="126" customFormat="false" ht="15" hidden="false" customHeight="false" outlineLevel="0" collapsed="false">
      <c r="A126" s="27" t="s">
        <v>35</v>
      </c>
      <c r="B126" s="27" t="s">
        <v>36</v>
      </c>
      <c r="C126" s="27" t="s">
        <v>444</v>
      </c>
      <c r="D126" s="27" t="s">
        <v>316</v>
      </c>
      <c r="E126" s="27" t="n">
        <v>72830300</v>
      </c>
      <c r="F126" s="27" t="s">
        <v>89</v>
      </c>
      <c r="G126" s="27"/>
      <c r="H126" s="28" t="n">
        <v>620000</v>
      </c>
    </row>
    <row r="127" customFormat="false" ht="15" hidden="false" customHeight="false" outlineLevel="0" collapsed="false">
      <c r="A127" s="27" t="s">
        <v>35</v>
      </c>
      <c r="B127" s="27" t="s">
        <v>36</v>
      </c>
      <c r="C127" s="27" t="s">
        <v>445</v>
      </c>
      <c r="D127" s="27" t="s">
        <v>316</v>
      </c>
      <c r="E127" s="27" t="n">
        <v>72830300</v>
      </c>
      <c r="F127" s="27" t="s">
        <v>89</v>
      </c>
      <c r="G127" s="27"/>
      <c r="H127" s="28" t="n">
        <v>9000</v>
      </c>
    </row>
    <row r="128" customFormat="false" ht="15" hidden="false" customHeight="false" outlineLevel="0" collapsed="false">
      <c r="A128" s="27" t="s">
        <v>35</v>
      </c>
      <c r="B128" s="27" t="s">
        <v>36</v>
      </c>
      <c r="C128" s="27" t="s">
        <v>446</v>
      </c>
      <c r="D128" s="27" t="s">
        <v>316</v>
      </c>
      <c r="E128" s="27" t="n">
        <v>74200320</v>
      </c>
      <c r="F128" s="27" t="s">
        <v>121</v>
      </c>
      <c r="G128" s="27"/>
      <c r="H128" s="28" t="n">
        <v>25000</v>
      </c>
    </row>
    <row r="129" customFormat="false" ht="15" hidden="false" customHeight="false" outlineLevel="0" collapsed="false">
      <c r="A129" s="27" t="s">
        <v>35</v>
      </c>
      <c r="B129" s="27" t="s">
        <v>36</v>
      </c>
      <c r="C129" s="27" t="s">
        <v>447</v>
      </c>
      <c r="D129" s="27" t="s">
        <v>316</v>
      </c>
      <c r="E129" s="27" t="n">
        <v>73580730</v>
      </c>
      <c r="F129" s="27" t="s">
        <v>113</v>
      </c>
      <c r="G129" s="27"/>
      <c r="H129" s="28" t="n">
        <v>93000</v>
      </c>
    </row>
    <row r="130" customFormat="false" ht="15" hidden="false" customHeight="false" outlineLevel="0" collapsed="false">
      <c r="A130" s="27" t="s">
        <v>448</v>
      </c>
      <c r="B130" s="27" t="s">
        <v>449</v>
      </c>
      <c r="C130" s="27" t="s">
        <v>450</v>
      </c>
      <c r="D130" s="27" t="s">
        <v>316</v>
      </c>
      <c r="E130" s="27" t="n">
        <v>74200320</v>
      </c>
      <c r="F130" s="27" t="s">
        <v>121</v>
      </c>
      <c r="G130" s="27"/>
      <c r="H130" s="28" t="n">
        <v>75000</v>
      </c>
    </row>
    <row r="131" customFormat="false" ht="15" hidden="false" customHeight="false" outlineLevel="0" collapsed="false">
      <c r="A131" s="27" t="s">
        <v>448</v>
      </c>
      <c r="B131" s="27" t="s">
        <v>449</v>
      </c>
      <c r="C131" s="27" t="s">
        <v>451</v>
      </c>
      <c r="D131" s="27" t="s">
        <v>316</v>
      </c>
      <c r="E131" s="27" t="n">
        <v>74200320</v>
      </c>
      <c r="F131" s="27" t="s">
        <v>121</v>
      </c>
      <c r="G131" s="27"/>
      <c r="H131" s="28" t="n">
        <v>108415</v>
      </c>
    </row>
    <row r="132" customFormat="false" ht="15" hidden="false" customHeight="false" outlineLevel="0" collapsed="false">
      <c r="A132" s="27" t="s">
        <v>448</v>
      </c>
      <c r="B132" s="27" t="s">
        <v>449</v>
      </c>
      <c r="C132" s="27" t="s">
        <v>452</v>
      </c>
      <c r="D132" s="27" t="s">
        <v>316</v>
      </c>
      <c r="E132" s="27" t="n">
        <v>73580730</v>
      </c>
      <c r="F132" s="27" t="s">
        <v>113</v>
      </c>
      <c r="G132" s="27"/>
      <c r="H132" s="28" t="n">
        <v>225000</v>
      </c>
    </row>
    <row r="133" customFormat="false" ht="15" hidden="false" customHeight="false" outlineLevel="0" collapsed="false">
      <c r="A133" s="27" t="s">
        <v>448</v>
      </c>
      <c r="B133" s="27" t="s">
        <v>449</v>
      </c>
      <c r="C133" s="27" t="s">
        <v>453</v>
      </c>
      <c r="D133" s="27" t="s">
        <v>316</v>
      </c>
      <c r="E133" s="27" t="n">
        <v>73580730</v>
      </c>
      <c r="F133" s="27" t="s">
        <v>113</v>
      </c>
      <c r="G133" s="27"/>
      <c r="H133" s="28" t="n">
        <v>16000</v>
      </c>
    </row>
    <row r="134" customFormat="false" ht="15" hidden="false" customHeight="false" outlineLevel="0" collapsed="false">
      <c r="A134" s="27" t="s">
        <v>448</v>
      </c>
      <c r="B134" s="27" t="s">
        <v>449</v>
      </c>
      <c r="C134" s="27" t="s">
        <v>454</v>
      </c>
      <c r="D134" s="27" t="s">
        <v>316</v>
      </c>
      <c r="E134" s="27" t="n">
        <v>73580730</v>
      </c>
      <c r="F134" s="27" t="s">
        <v>113</v>
      </c>
      <c r="G134" s="27"/>
      <c r="H134" s="28" t="n">
        <v>20000</v>
      </c>
    </row>
    <row r="135" customFormat="false" ht="15" hidden="false" customHeight="false" outlineLevel="0" collapsed="false">
      <c r="A135" s="27" t="s">
        <v>448</v>
      </c>
      <c r="B135" s="27" t="s">
        <v>449</v>
      </c>
      <c r="C135" s="27" t="s">
        <v>455</v>
      </c>
      <c r="D135" s="27" t="s">
        <v>316</v>
      </c>
      <c r="E135" s="27" t="n">
        <v>73580730</v>
      </c>
      <c r="F135" s="27" t="s">
        <v>113</v>
      </c>
      <c r="G135" s="27"/>
      <c r="H135" s="28" t="n">
        <v>80000</v>
      </c>
    </row>
    <row r="136" customFormat="false" ht="15" hidden="false" customHeight="false" outlineLevel="0" collapsed="false">
      <c r="A136" s="27" t="s">
        <v>448</v>
      </c>
      <c r="B136" s="27" t="s">
        <v>449</v>
      </c>
      <c r="C136" s="27" t="s">
        <v>456</v>
      </c>
      <c r="D136" s="27" t="s">
        <v>316</v>
      </c>
      <c r="E136" s="27" t="n">
        <v>73580730</v>
      </c>
      <c r="F136" s="27" t="s">
        <v>113</v>
      </c>
      <c r="G136" s="27"/>
      <c r="H136" s="28" t="n">
        <v>15000</v>
      </c>
    </row>
    <row r="137" customFormat="false" ht="15" hidden="false" customHeight="false" outlineLevel="0" collapsed="false">
      <c r="A137" s="27" t="s">
        <v>448</v>
      </c>
      <c r="B137" s="27" t="s">
        <v>449</v>
      </c>
      <c r="C137" s="27" t="s">
        <v>457</v>
      </c>
      <c r="D137" s="27" t="s">
        <v>316</v>
      </c>
      <c r="E137" s="27" t="n">
        <v>73580740</v>
      </c>
      <c r="F137" s="27" t="s">
        <v>117</v>
      </c>
      <c r="G137" s="27"/>
      <c r="H137" s="28" t="n">
        <v>300000</v>
      </c>
    </row>
    <row r="138" customFormat="false" ht="15" hidden="false" customHeight="false" outlineLevel="0" collapsed="false">
      <c r="A138" s="27"/>
      <c r="B138" s="27"/>
      <c r="C138" s="27"/>
      <c r="D138" s="27"/>
      <c r="E138" s="27"/>
      <c r="F138" s="27"/>
      <c r="G138" s="27"/>
      <c r="H138" s="27"/>
    </row>
    <row r="139" customFormat="false" ht="15" hidden="false" customHeight="false" outlineLevel="0" collapsed="false">
      <c r="A139" s="4" t="s">
        <v>458</v>
      </c>
      <c r="B139" s="27"/>
      <c r="C139" s="27"/>
      <c r="D139" s="27"/>
      <c r="E139" s="27"/>
      <c r="F139" s="27"/>
      <c r="G139" s="27"/>
      <c r="H139" s="27"/>
    </row>
  </sheetData>
  <autoFilter ref="A2:H137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&amp;LBudgetanalyse FY26/FY27 – &amp;A&amp;R&amp;P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24" hidden="false" customHeight="true" outlineLevel="0" collapsed="false">
      <c r="A1" s="1" t="s">
        <v>459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5" t="s">
        <v>460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9" t="s">
        <v>461</v>
      </c>
      <c r="B5" s="30" t="s">
        <v>462</v>
      </c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9" t="s">
        <v>463</v>
      </c>
      <c r="B6" s="30" t="s">
        <v>464</v>
      </c>
      <c r="C6" s="2"/>
      <c r="D6" s="2"/>
      <c r="E6" s="2"/>
      <c r="F6" s="2"/>
      <c r="G6" s="2"/>
      <c r="H6" s="2"/>
    </row>
    <row r="7" customFormat="false" ht="23.85" hidden="false" customHeight="false" outlineLevel="0" collapsed="false">
      <c r="A7" s="29" t="s">
        <v>465</v>
      </c>
      <c r="B7" s="30" t="s">
        <v>466</v>
      </c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5" t="s">
        <v>467</v>
      </c>
      <c r="B9" s="2"/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A10" s="29" t="s">
        <v>468</v>
      </c>
      <c r="B10" s="30" t="s">
        <v>469</v>
      </c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29" t="s">
        <v>18</v>
      </c>
      <c r="B11" s="30" t="s">
        <v>470</v>
      </c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9" t="s">
        <v>471</v>
      </c>
      <c r="B12" s="30" t="s">
        <v>472</v>
      </c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29" t="s">
        <v>13</v>
      </c>
      <c r="B13" s="30" t="s">
        <v>473</v>
      </c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29" t="s">
        <v>474</v>
      </c>
      <c r="B14" s="30" t="s">
        <v>475</v>
      </c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9" t="s">
        <v>476</v>
      </c>
      <c r="B15" s="30" t="s">
        <v>477</v>
      </c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5" t="s">
        <v>478</v>
      </c>
      <c r="B17" s="2"/>
      <c r="C17" s="2"/>
      <c r="D17" s="2"/>
      <c r="E17" s="2"/>
      <c r="F17" s="2"/>
      <c r="G17" s="2"/>
      <c r="H17" s="2"/>
    </row>
    <row r="18" customFormat="false" ht="23.85" hidden="false" customHeight="false" outlineLevel="0" collapsed="false">
      <c r="A18" s="29" t="s">
        <v>479</v>
      </c>
      <c r="B18" s="30" t="s">
        <v>480</v>
      </c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29" t="s">
        <v>22</v>
      </c>
      <c r="B19" s="30" t="s">
        <v>481</v>
      </c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29" t="s">
        <v>87</v>
      </c>
      <c r="B20" s="30" t="s">
        <v>482</v>
      </c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5" t="s">
        <v>483</v>
      </c>
      <c r="B22" s="2"/>
      <c r="C22" s="2"/>
      <c r="D22" s="2"/>
      <c r="E22" s="2"/>
      <c r="F22" s="2"/>
      <c r="G22" s="2"/>
      <c r="H22" s="2"/>
    </row>
    <row r="23" customFormat="false" ht="23.85" hidden="false" customHeight="false" outlineLevel="0" collapsed="false">
      <c r="A23" s="29" t="s">
        <v>484</v>
      </c>
      <c r="B23" s="30" t="s">
        <v>485</v>
      </c>
      <c r="C23" s="2"/>
      <c r="D23" s="2"/>
      <c r="E23" s="2"/>
      <c r="F23" s="2"/>
      <c r="G23" s="2"/>
      <c r="H23" s="2"/>
    </row>
    <row r="24" customFormat="false" ht="23.85" hidden="false" customHeight="false" outlineLevel="0" collapsed="false">
      <c r="A24" s="29" t="s">
        <v>486</v>
      </c>
      <c r="B24" s="30" t="s">
        <v>487</v>
      </c>
      <c r="C24" s="2"/>
      <c r="D24" s="2"/>
      <c r="E24" s="2"/>
      <c r="F24" s="2"/>
      <c r="G24" s="2"/>
      <c r="H24" s="2"/>
    </row>
    <row r="25" customFormat="false" ht="23.85" hidden="false" customHeight="false" outlineLevel="0" collapsed="false">
      <c r="A25" s="29" t="s">
        <v>488</v>
      </c>
      <c r="B25" s="30" t="s">
        <v>489</v>
      </c>
      <c r="C25" s="2"/>
      <c r="D25" s="2"/>
      <c r="E25" s="2"/>
      <c r="F25" s="2"/>
      <c r="G25" s="2"/>
      <c r="H25" s="2"/>
    </row>
    <row r="26" customFormat="false" ht="23.85" hidden="false" customHeight="false" outlineLevel="0" collapsed="false">
      <c r="A26" s="29" t="s">
        <v>490</v>
      </c>
      <c r="B26" s="30" t="s">
        <v>491</v>
      </c>
      <c r="C26" s="2"/>
      <c r="D26" s="2"/>
      <c r="E26" s="2"/>
      <c r="F26" s="2"/>
      <c r="G26" s="2"/>
      <c r="H26" s="2"/>
    </row>
    <row r="27" customFormat="false" ht="23.85" hidden="false" customHeight="false" outlineLevel="0" collapsed="false">
      <c r="A27" s="29" t="s">
        <v>492</v>
      </c>
      <c r="B27" s="30" t="s">
        <v>493</v>
      </c>
      <c r="C27" s="2"/>
      <c r="D27" s="2"/>
      <c r="E27" s="2"/>
      <c r="F27" s="2"/>
      <c r="G27" s="2"/>
      <c r="H27" s="2"/>
    </row>
    <row r="28" customFormat="false" ht="35.05" hidden="false" customHeight="false" outlineLevel="0" collapsed="false">
      <c r="A28" s="29" t="s">
        <v>471</v>
      </c>
      <c r="B28" s="30" t="s">
        <v>494</v>
      </c>
      <c r="C28" s="2"/>
      <c r="D28" s="2"/>
      <c r="E28" s="2"/>
      <c r="F28" s="2"/>
      <c r="G28" s="2"/>
      <c r="H28" s="2"/>
    </row>
    <row r="29" customFormat="false" ht="23.85" hidden="false" customHeight="false" outlineLevel="0" collapsed="false">
      <c r="A29" s="29" t="s">
        <v>65</v>
      </c>
      <c r="B29" s="30" t="s">
        <v>495</v>
      </c>
      <c r="C29" s="2"/>
      <c r="D29" s="2"/>
      <c r="E29" s="2"/>
      <c r="F29" s="2"/>
      <c r="G29" s="2"/>
      <c r="H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15" hidden="false" customHeight="false" outlineLevel="0" collapsed="false">
      <c r="A31" s="5" t="s">
        <v>496</v>
      </c>
      <c r="B31" s="2"/>
      <c r="C31" s="2"/>
      <c r="D31" s="2"/>
      <c r="E31" s="2"/>
      <c r="F31" s="2"/>
      <c r="G31" s="2"/>
      <c r="H31" s="2"/>
    </row>
    <row r="32" customFormat="false" ht="23.85" hidden="false" customHeight="false" outlineLevel="0" collapsed="false">
      <c r="A32" s="29" t="s">
        <v>448</v>
      </c>
      <c r="B32" s="30" t="s">
        <v>497</v>
      </c>
      <c r="C32" s="2"/>
      <c r="D32" s="2"/>
      <c r="E32" s="2"/>
      <c r="F32" s="2"/>
      <c r="G32" s="2"/>
      <c r="H32" s="2"/>
    </row>
    <row r="33" customFormat="false" ht="23.85" hidden="false" customHeight="false" outlineLevel="0" collapsed="false">
      <c r="A33" s="29" t="s">
        <v>498</v>
      </c>
      <c r="B33" s="30" t="s">
        <v>499</v>
      </c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A34" s="29" t="s">
        <v>500</v>
      </c>
      <c r="B34" s="30" t="s">
        <v>501</v>
      </c>
      <c r="C34" s="2"/>
      <c r="D34" s="2"/>
      <c r="E34" s="2"/>
      <c r="F34" s="2"/>
      <c r="G34" s="2"/>
      <c r="H34" s="2"/>
    </row>
    <row r="35" customFormat="false" ht="23.85" hidden="false" customHeight="false" outlineLevel="0" collapsed="false">
      <c r="A35" s="29" t="s">
        <v>502</v>
      </c>
      <c r="B35" s="30" t="s">
        <v>503</v>
      </c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</row>
    <row r="37" customFormat="false" ht="15" hidden="false" customHeight="false" outlineLevel="0" collapsed="false">
      <c r="A37" s="5" t="s">
        <v>504</v>
      </c>
      <c r="B37" s="2"/>
      <c r="C37" s="2"/>
      <c r="D37" s="2"/>
      <c r="E37" s="2"/>
      <c r="F37" s="2"/>
      <c r="G37" s="2"/>
      <c r="H37" s="2"/>
    </row>
    <row r="38" customFormat="false" ht="15" hidden="false" customHeight="false" outlineLevel="0" collapsed="false">
      <c r="A38" s="29" t="s">
        <v>505</v>
      </c>
      <c r="B38" s="30" t="s">
        <v>506</v>
      </c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A39" s="29" t="s">
        <v>507</v>
      </c>
      <c r="B39" s="30" t="s">
        <v>508</v>
      </c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A40" s="29" t="s">
        <v>509</v>
      </c>
      <c r="B40" s="30" t="s">
        <v>510</v>
      </c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A41" s="29" t="s">
        <v>511</v>
      </c>
      <c r="B41" s="30" t="s">
        <v>512</v>
      </c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A43" s="29" t="s">
        <v>513</v>
      </c>
      <c r="B43" s="30" t="s">
        <v>514</v>
      </c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&amp;LBudgetanalyse FY26/FY27 – &amp;A&amp;R&amp;P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13"/>
    <col collapsed="false" customWidth="true" hidden="false" outlineLevel="0" max="10" min="10" style="0" width="18"/>
    <col collapsed="false" customWidth="true" hidden="false" outlineLevel="0" max="12" min="12" style="0" width="38"/>
    <col collapsed="false" customWidth="true" hidden="false" outlineLevel="0" max="14" min="14" style="0" width="16"/>
    <col collapsed="false" customWidth="true" hidden="false" outlineLevel="0" max="15" min="15" style="0" width="38"/>
  </cols>
  <sheetData>
    <row r="1" customFormat="false" ht="15" hidden="false" customHeight="false" outlineLevel="0" collapsed="false">
      <c r="A1" s="5" t="s">
        <v>515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customFormat="false" ht="15" hidden="false" customHeight="false" outlineLevel="0" collapsed="false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customFormat="false" ht="15" hidden="false" customHeight="false" outlineLevel="0" collapsed="false">
      <c r="A3" s="27"/>
      <c r="B3" s="27"/>
      <c r="C3" s="27"/>
      <c r="D3" s="27"/>
      <c r="E3" s="27"/>
      <c r="F3" s="27"/>
      <c r="G3" s="27"/>
      <c r="H3" s="27"/>
      <c r="I3" s="27"/>
      <c r="J3" s="31" t="s">
        <v>516</v>
      </c>
      <c r="K3" s="27"/>
      <c r="L3" s="31" t="s">
        <v>517</v>
      </c>
      <c r="M3" s="27"/>
      <c r="N3" s="31" t="s">
        <v>518</v>
      </c>
    </row>
    <row r="4" customFormat="false" ht="15" hidden="false" customHeight="false" outlineLevel="0" collapsed="false">
      <c r="A4" s="27"/>
      <c r="B4" s="27"/>
      <c r="C4" s="27"/>
      <c r="D4" s="27"/>
      <c r="E4" s="27"/>
      <c r="F4" s="27"/>
      <c r="G4" s="27"/>
      <c r="H4" s="27"/>
      <c r="I4" s="27"/>
      <c r="J4" s="27" t="s">
        <v>5</v>
      </c>
      <c r="K4" s="27"/>
      <c r="L4" s="27" t="s">
        <v>5</v>
      </c>
      <c r="M4" s="27"/>
      <c r="N4" s="27" t="s">
        <v>18</v>
      </c>
      <c r="O4" s="0" t="str">
        <f aca="false">IF(Dashboard!$C$5="Alle","*",Dashboard!$C$5)</f>
        <v>*</v>
      </c>
    </row>
    <row r="5" customFormat="false" ht="15" hidden="false" customHeight="false" outlineLevel="0" collapsed="false">
      <c r="A5" s="27"/>
      <c r="B5" s="27"/>
      <c r="C5" s="27"/>
      <c r="D5" s="27"/>
      <c r="E5" s="27"/>
      <c r="F5" s="27"/>
      <c r="G5" s="27"/>
      <c r="H5" s="27"/>
      <c r="I5" s="27"/>
      <c r="J5" s="27" t="s">
        <v>35</v>
      </c>
      <c r="K5" s="27"/>
      <c r="L5" s="27" t="s">
        <v>61</v>
      </c>
      <c r="M5" s="27"/>
      <c r="N5" s="27" t="s">
        <v>19</v>
      </c>
      <c r="O5" s="0" t="str">
        <f aca="false">IF(Dashboard!$C$7="Alle","*",Dashboard!$C$7)</f>
        <v>*</v>
      </c>
    </row>
    <row r="6" customFormat="false" ht="15" hidden="false" customHeight="false" outlineLevel="0" collapsed="false">
      <c r="A6" s="27"/>
      <c r="B6" s="27"/>
      <c r="C6" s="27"/>
      <c r="D6" s="27"/>
      <c r="E6" s="27"/>
      <c r="F6" s="27"/>
      <c r="G6" s="27"/>
      <c r="H6" s="27"/>
      <c r="I6" s="27"/>
      <c r="J6" s="27" t="s">
        <v>40</v>
      </c>
      <c r="K6" s="27"/>
      <c r="L6" s="27" t="s">
        <v>62</v>
      </c>
      <c r="M6" s="27"/>
      <c r="N6" s="4" t="s">
        <v>519</v>
      </c>
    </row>
    <row r="7" customFormat="false" ht="15" hidden="false" customHeight="false" outlineLevel="0" collapsed="false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 t="s">
        <v>63</v>
      </c>
      <c r="M7" s="27"/>
      <c r="N7" s="27"/>
    </row>
    <row r="8" customFormat="false" ht="15" hidden="false" customHeight="false" outlineLevel="0" collapsed="false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 t="s">
        <v>64</v>
      </c>
      <c r="M8" s="27"/>
      <c r="N8" s="27"/>
    </row>
    <row r="9" customFormat="false" ht="15" hidden="false" customHeight="false" outlineLevel="0" collapsed="false">
      <c r="A9" s="31" t="s">
        <v>520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 t="s">
        <v>65</v>
      </c>
      <c r="M9" s="27"/>
      <c r="N9" s="27"/>
    </row>
    <row r="10" customFormat="false" ht="30" hidden="false" customHeight="true" outlineLevel="0" collapsed="false">
      <c r="A10" s="8" t="s">
        <v>19</v>
      </c>
      <c r="B10" s="8" t="s">
        <v>20</v>
      </c>
      <c r="C10" s="8" t="s">
        <v>21</v>
      </c>
      <c r="D10" s="8" t="s">
        <v>521</v>
      </c>
      <c r="E10" s="27"/>
      <c r="F10" s="27"/>
      <c r="G10" s="27"/>
      <c r="H10" s="27"/>
      <c r="I10" s="27"/>
      <c r="J10" s="27"/>
      <c r="K10" s="27"/>
      <c r="L10" s="27" t="s">
        <v>66</v>
      </c>
      <c r="M10" s="27"/>
      <c r="N10" s="27"/>
    </row>
    <row r="11" customFormat="false" ht="15" hidden="false" customHeight="false" outlineLevel="0" collapsed="false">
      <c r="A11" s="27" t="s">
        <v>61</v>
      </c>
      <c r="B11" s="28" t="n">
        <f aca="false">SUMIFS(Positionen!$K$3:$K$74,Positionen!$E$3:$E$74,$A11,Positionen!$A$3:$A$74,Berechnung!$O$4)</f>
        <v>3953000</v>
      </c>
      <c r="C11" s="28" t="n">
        <f aca="false">SUMIFS(Positionen!$L$3:$L$74,Positionen!$E$3:$E$74,$A11,Positionen!$A$3:$A$74,Berechnung!$O$4)</f>
        <v>4105500</v>
      </c>
      <c r="D11" s="28" t="n">
        <f aca="false">C11-B11</f>
        <v>152500</v>
      </c>
      <c r="E11" s="27"/>
      <c r="F11" s="27"/>
      <c r="G11" s="27"/>
      <c r="H11" s="27"/>
      <c r="I11" s="27"/>
      <c r="J11" s="27"/>
      <c r="K11" s="27"/>
      <c r="L11" s="27" t="s">
        <v>67</v>
      </c>
      <c r="M11" s="27"/>
      <c r="N11" s="27"/>
    </row>
    <row r="12" customFormat="false" ht="15" hidden="false" customHeight="false" outlineLevel="0" collapsed="false">
      <c r="A12" s="27" t="s">
        <v>62</v>
      </c>
      <c r="B12" s="28" t="n">
        <f aca="false">SUMIFS(Positionen!$K$3:$K$74,Positionen!$E$3:$E$74,$A12,Positionen!$A$3:$A$74,Berechnung!$O$4)</f>
        <v>277100</v>
      </c>
      <c r="C12" s="28" t="n">
        <f aca="false">SUMIFS(Positionen!$L$3:$L$74,Positionen!$E$3:$E$74,$A12,Positionen!$A$3:$A$74,Berechnung!$O$4)</f>
        <v>347300</v>
      </c>
      <c r="D12" s="28" t="n">
        <f aca="false">C12-B12</f>
        <v>70200</v>
      </c>
      <c r="E12" s="27"/>
      <c r="F12" s="27"/>
      <c r="G12" s="27"/>
      <c r="H12" s="27"/>
      <c r="I12" s="27"/>
      <c r="J12" s="27"/>
      <c r="K12" s="27"/>
      <c r="L12" s="27" t="s">
        <v>68</v>
      </c>
      <c r="M12" s="27"/>
      <c r="N12" s="27"/>
    </row>
    <row r="13" customFormat="false" ht="15" hidden="false" customHeight="false" outlineLevel="0" collapsed="false">
      <c r="A13" s="27" t="s">
        <v>63</v>
      </c>
      <c r="B13" s="28" t="n">
        <f aca="false">SUMIFS(Positionen!$K$3:$K$74,Positionen!$E$3:$E$74,$A13,Positionen!$A$3:$A$74,Berechnung!$O$4)</f>
        <v>8000</v>
      </c>
      <c r="C13" s="28" t="n">
        <f aca="false">SUMIFS(Positionen!$L$3:$L$74,Positionen!$E$3:$E$74,$A13,Positionen!$A$3:$A$74,Berechnung!$O$4)</f>
        <v>8000</v>
      </c>
      <c r="D13" s="28" t="n">
        <f aca="false">C13-B13</f>
        <v>0</v>
      </c>
      <c r="E13" s="27"/>
      <c r="F13" s="27"/>
      <c r="G13" s="27"/>
      <c r="H13" s="27"/>
      <c r="I13" s="27"/>
      <c r="J13" s="27"/>
      <c r="K13" s="27"/>
      <c r="L13" s="27" t="s">
        <v>69</v>
      </c>
      <c r="M13" s="27"/>
      <c r="N13" s="27"/>
    </row>
    <row r="14" customFormat="false" ht="15" hidden="false" customHeight="false" outlineLevel="0" collapsed="false">
      <c r="A14" s="27" t="s">
        <v>64</v>
      </c>
      <c r="B14" s="28" t="n">
        <f aca="false">SUMIFS(Positionen!$K$3:$K$74,Positionen!$E$3:$E$74,$A14,Positionen!$A$3:$A$74,Berechnung!$O$4)</f>
        <v>64000</v>
      </c>
      <c r="C14" s="28" t="n">
        <f aca="false">SUMIFS(Positionen!$L$3:$L$74,Positionen!$E$3:$E$74,$A14,Positionen!$A$3:$A$74,Berechnung!$O$4)</f>
        <v>62000</v>
      </c>
      <c r="D14" s="28" t="n">
        <f aca="false">C14-B14</f>
        <v>-2000</v>
      </c>
      <c r="E14" s="27"/>
      <c r="F14" s="27"/>
      <c r="G14" s="27"/>
      <c r="H14" s="27"/>
      <c r="I14" s="27"/>
      <c r="J14" s="27"/>
      <c r="K14" s="27"/>
      <c r="L14" s="27" t="s">
        <v>70</v>
      </c>
      <c r="M14" s="27"/>
      <c r="N14" s="27"/>
    </row>
    <row r="15" customFormat="false" ht="15" hidden="false" customHeight="false" outlineLevel="0" collapsed="false">
      <c r="A15" s="27" t="s">
        <v>65</v>
      </c>
      <c r="B15" s="28" t="n">
        <f aca="false">SUMIFS(Positionen!$K$3:$K$74,Positionen!$E$3:$E$74,$A15,Positionen!$A$3:$A$74,Berechnung!$O$4)</f>
        <v>1055000</v>
      </c>
      <c r="C15" s="28" t="n">
        <f aca="false">SUMIFS(Positionen!$L$3:$L$74,Positionen!$E$3:$E$74,$A15,Positionen!$A$3:$A$74,Berechnung!$O$4)</f>
        <v>2810000</v>
      </c>
      <c r="D15" s="28" t="n">
        <f aca="false">C15-B15</f>
        <v>1755000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</row>
    <row r="16" customFormat="false" ht="15" hidden="false" customHeight="false" outlineLevel="0" collapsed="false">
      <c r="A16" s="27" t="s">
        <v>66</v>
      </c>
      <c r="B16" s="28" t="n">
        <f aca="false">SUMIFS(Positionen!$K$3:$K$74,Positionen!$E$3:$E$74,$A16,Positionen!$A$3:$A$74,Berechnung!$O$4)</f>
        <v>465000</v>
      </c>
      <c r="C16" s="28" t="n">
        <f aca="false">SUMIFS(Positionen!$L$3:$L$74,Positionen!$E$3:$E$74,$A16,Positionen!$A$3:$A$74,Berechnung!$O$4)</f>
        <v>240000</v>
      </c>
      <c r="D16" s="28" t="n">
        <f aca="false">C16-B16</f>
        <v>-225000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</row>
    <row r="17" customFormat="false" ht="15" hidden="false" customHeight="false" outlineLevel="0" collapsed="false">
      <c r="A17" s="27" t="s">
        <v>67</v>
      </c>
      <c r="B17" s="28" t="n">
        <f aca="false">SUMIFS(Positionen!$K$3:$K$74,Positionen!$E$3:$E$74,$A17,Positionen!$A$3:$A$74,Berechnung!$O$4)</f>
        <v>7925500</v>
      </c>
      <c r="C17" s="28" t="n">
        <f aca="false">SUMIFS(Positionen!$L$3:$L$74,Positionen!$E$3:$E$74,$A17,Positionen!$A$3:$A$74,Berechnung!$O$4)</f>
        <v>7800000</v>
      </c>
      <c r="D17" s="28" t="n">
        <f aca="false">C17-B17</f>
        <v>-125500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</row>
    <row r="18" customFormat="false" ht="15" hidden="false" customHeight="false" outlineLevel="0" collapsed="false">
      <c r="A18" s="27" t="s">
        <v>68</v>
      </c>
      <c r="B18" s="28" t="n">
        <f aca="false">SUMIFS(Positionen!$K$3:$K$74,Positionen!$E$3:$E$74,$A18,Positionen!$A$3:$A$74,Berechnung!$O$4)</f>
        <v>131000</v>
      </c>
      <c r="C18" s="28" t="n">
        <f aca="false">SUMIFS(Positionen!$L$3:$L$74,Positionen!$E$3:$E$74,$A18,Positionen!$A$3:$A$74,Berechnung!$O$4)</f>
        <v>154600</v>
      </c>
      <c r="D18" s="28" t="n">
        <f aca="false">C18-B18</f>
        <v>23600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 customFormat="false" ht="15" hidden="false" customHeight="false" outlineLevel="0" collapsed="false">
      <c r="A19" s="27" t="s">
        <v>69</v>
      </c>
      <c r="B19" s="28" t="n">
        <f aca="false">SUMIFS(Positionen!$K$3:$K$74,Positionen!$E$3:$E$74,$A19,Positionen!$A$3:$A$74,Berechnung!$O$4)</f>
        <v>466200</v>
      </c>
      <c r="C19" s="28" t="n">
        <f aca="false">SUMIFS(Positionen!$L$3:$L$74,Positionen!$E$3:$E$74,$A19,Positionen!$A$3:$A$74,Berechnung!$O$4)</f>
        <v>458400</v>
      </c>
      <c r="D19" s="28" t="n">
        <f aca="false">C19-B19</f>
        <v>-7800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customFormat="false" ht="15" hidden="false" customHeight="false" outlineLevel="0" collapsed="false">
      <c r="A20" s="27" t="s">
        <v>70</v>
      </c>
      <c r="B20" s="28" t="n">
        <f aca="false">SUMIFS(Positionen!$K$3:$K$74,Positionen!$E$3:$E$74,$A20,Positionen!$A$3:$A$74,Berechnung!$O$4)</f>
        <v>1819500</v>
      </c>
      <c r="C20" s="28" t="n">
        <f aca="false">SUMIFS(Positionen!$L$3:$L$74,Positionen!$E$3:$E$74,$A20,Positionen!$A$3:$A$74,Berechnung!$O$4)</f>
        <v>2394295</v>
      </c>
      <c r="D20" s="28" t="n">
        <f aca="false">C20-B20</f>
        <v>574795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customFormat="false" ht="15" hidden="false" customHeight="false" outlineLevel="0" collapsed="false">
      <c r="A23" s="31" t="s">
        <v>522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</row>
    <row r="24" customFormat="false" ht="30" hidden="false" customHeight="true" outlineLevel="0" collapsed="false">
      <c r="A24" s="8" t="s">
        <v>18</v>
      </c>
      <c r="B24" s="8" t="s">
        <v>20</v>
      </c>
      <c r="C24" s="8" t="s">
        <v>21</v>
      </c>
      <c r="D24" s="8" t="s">
        <v>521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</row>
    <row r="25" customFormat="false" ht="15" hidden="false" customHeight="false" outlineLevel="0" collapsed="false">
      <c r="A25" s="27" t="s">
        <v>35</v>
      </c>
      <c r="B25" s="28" t="n">
        <f aca="false">SUMIFS(Positionen!$K$3:$K$74,Positionen!$A$3:$A$74,$A25,Positionen!$E$3:$E$74,Berechnung!$O$5)</f>
        <v>5665700</v>
      </c>
      <c r="C25" s="28" t="n">
        <f aca="false">SUMIFS(Positionen!$L$3:$L$74,Positionen!$A$3:$A$74,$A25,Positionen!$E$3:$E$74,Berechnung!$O$5)</f>
        <v>7576000</v>
      </c>
      <c r="D25" s="28" t="n">
        <f aca="false">C25-B25</f>
        <v>1910300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customFormat="false" ht="15" hidden="false" customHeight="false" outlineLevel="0" collapsed="false">
      <c r="A26" s="27" t="s">
        <v>40</v>
      </c>
      <c r="B26" s="28" t="n">
        <f aca="false">SUMIFS(Positionen!$K$3:$K$74,Positionen!$A$3:$A$74,$A26,Positionen!$E$3:$E$74,Berechnung!$O$5)</f>
        <v>10498600</v>
      </c>
      <c r="C26" s="28" t="n">
        <f aca="false">SUMIFS(Positionen!$L$3:$L$74,Positionen!$A$3:$A$74,$A26,Positionen!$E$3:$E$74,Berechnung!$O$5)</f>
        <v>10804095</v>
      </c>
      <c r="D26" s="28" t="n">
        <f aca="false">C26-B26</f>
        <v>305495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customFormat="false" ht="15" hidden="false" customHeight="false" outlineLevel="0" collapsed="false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customFormat="false" ht="15" hidden="false" customHeight="false" outlineLevel="0" collapsed="false">
      <c r="A29" s="31" t="s">
        <v>523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</row>
    <row r="30" customFormat="false" ht="30" hidden="false" customHeight="true" outlineLevel="0" collapsed="false">
      <c r="A30" s="8" t="s">
        <v>524</v>
      </c>
      <c r="B30" s="8" t="s">
        <v>20</v>
      </c>
      <c r="C30" s="8" t="s">
        <v>21</v>
      </c>
      <c r="D30" s="8" t="s">
        <v>521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 customFormat="false" ht="15" hidden="false" customHeight="false" outlineLevel="0" collapsed="false">
      <c r="A31" s="27" t="s">
        <v>89</v>
      </c>
      <c r="B31" s="28" t="n">
        <f aca="false">SUMIFS(Positionen!$K$3:$K$74,Positionen!$G$3:$G$74,$A31,Positionen!$A$3:$A$74,Berechnung!$O$4,Positionen!$E$3:$E$74,Berechnung!$O$5)</f>
        <v>3634000</v>
      </c>
      <c r="C31" s="28" t="n">
        <f aca="false">SUMIFS(Positionen!$L$3:$L$74,Positionen!$G$3:$G$74,$A31,Positionen!$A$3:$A$74,Berechnung!$O$4,Positionen!$E$3:$E$74,Berechnung!$O$5)</f>
        <v>3764045</v>
      </c>
      <c r="D31" s="28" t="n">
        <f aca="false">C31-B31</f>
        <v>130045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customFormat="false" ht="15" hidden="false" customHeight="false" outlineLevel="0" collapsed="false">
      <c r="A32" s="27" t="s">
        <v>148</v>
      </c>
      <c r="B32" s="28" t="n">
        <f aca="false">SUMIFS(Positionen!$K$3:$K$74,Positionen!$G$3:$G$74,$A32,Positionen!$A$3:$A$74,Berechnung!$O$4,Positionen!$E$3:$E$74,Berechnung!$O$5)</f>
        <v>97000</v>
      </c>
      <c r="C32" s="28" t="n">
        <f aca="false">SUMIFS(Positionen!$L$3:$L$74,Positionen!$G$3:$G$74,$A32,Positionen!$A$3:$A$74,Berechnung!$O$4,Positionen!$E$3:$E$74,Berechnung!$O$5)</f>
        <v>108500</v>
      </c>
      <c r="D32" s="28" t="n">
        <f aca="false">C32-B32</f>
        <v>11500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</row>
    <row r="33" customFormat="false" ht="15" hidden="false" customHeight="false" outlineLevel="0" collapsed="false">
      <c r="A33" s="27" t="s">
        <v>94</v>
      </c>
      <c r="B33" s="28" t="n">
        <f aca="false">SUMIFS(Positionen!$K$3:$K$74,Positionen!$G$3:$G$74,$A33,Positionen!$A$3:$A$74,Berechnung!$O$4,Positionen!$E$3:$E$74,Berechnung!$O$5)</f>
        <v>137500</v>
      </c>
      <c r="C33" s="28" t="n">
        <f aca="false">SUMIFS(Positionen!$L$3:$L$74,Positionen!$G$3:$G$74,$A33,Positionen!$A$3:$A$74,Berechnung!$O$4,Positionen!$E$3:$E$74,Berechnung!$O$5)</f>
        <v>148000</v>
      </c>
      <c r="D33" s="28" t="n">
        <f aca="false">C33-B33</f>
        <v>10500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</row>
    <row r="34" customFormat="false" ht="15" hidden="false" customHeight="false" outlineLevel="0" collapsed="false">
      <c r="A34" s="27" t="s">
        <v>121</v>
      </c>
      <c r="B34" s="28" t="n">
        <f aca="false">SUMIFS(Positionen!$K$3:$K$74,Positionen!$G$3:$G$74,$A34,Positionen!$A$3:$A$74,Berechnung!$O$4,Positionen!$E$3:$E$74,Berechnung!$O$5)</f>
        <v>9896100</v>
      </c>
      <c r="C34" s="28" t="n">
        <f aca="false">SUMIFS(Positionen!$L$3:$L$74,Positionen!$G$3:$G$74,$A34,Positionen!$A$3:$A$74,Berechnung!$O$4,Positionen!$E$3:$E$74,Berechnung!$O$5)</f>
        <v>10498650</v>
      </c>
      <c r="D34" s="28" t="n">
        <f aca="false">C34-B34</f>
        <v>602550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 customFormat="false" ht="15" hidden="false" customHeight="false" outlineLevel="0" collapsed="false">
      <c r="A35" s="27" t="s">
        <v>179</v>
      </c>
      <c r="B35" s="28" t="n">
        <f aca="false">SUMIFS(Positionen!$K$3:$K$74,Positionen!$G$3:$G$74,$A35,Positionen!$A$3:$A$74,Berechnung!$O$4,Positionen!$E$3:$E$74,Berechnung!$O$5)</f>
        <v>5000</v>
      </c>
      <c r="C35" s="28" t="n">
        <f aca="false">SUMIFS(Positionen!$L$3:$L$74,Positionen!$G$3:$G$74,$A35,Positionen!$A$3:$A$74,Berechnung!$O$4,Positionen!$E$3:$E$74,Berechnung!$O$5)</f>
        <v>5000</v>
      </c>
      <c r="D35" s="28" t="n">
        <f aca="false">C35-B35</f>
        <v>0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</row>
    <row r="36" customFormat="false" ht="15" hidden="false" customHeight="false" outlineLevel="0" collapsed="false">
      <c r="A36" s="27" t="s">
        <v>117</v>
      </c>
      <c r="B36" s="28" t="n">
        <f aca="false">SUMIFS(Positionen!$K$3:$K$74,Positionen!$G$3:$G$74,$A36,Positionen!$A$3:$A$74,Berechnung!$O$4,Positionen!$E$3:$E$74,Berechnung!$O$5)</f>
        <v>1326700</v>
      </c>
      <c r="C36" s="28" t="n">
        <f aca="false">SUMIFS(Positionen!$L$3:$L$74,Positionen!$G$3:$G$74,$A36,Positionen!$A$3:$A$74,Berechnung!$O$4,Positionen!$E$3:$E$74,Berechnung!$O$5)</f>
        <v>1845700</v>
      </c>
      <c r="D36" s="28" t="n">
        <f aca="false">C36-B36</f>
        <v>519000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 customFormat="false" ht="15" hidden="false" customHeight="false" outlineLevel="0" collapsed="false">
      <c r="A37" s="27" t="s">
        <v>113</v>
      </c>
      <c r="B37" s="28" t="n">
        <f aca="false">SUMIFS(Positionen!$K$3:$K$74,Positionen!$G$3:$G$74,$A37,Positionen!$A$3:$A$74,Berechnung!$O$4,Positionen!$E$3:$E$74,Berechnung!$O$5)</f>
        <v>768000</v>
      </c>
      <c r="C37" s="28" t="n">
        <f aca="false">SUMIFS(Positionen!$L$3:$L$74,Positionen!$G$3:$G$74,$A37,Positionen!$A$3:$A$74,Berechnung!$O$4,Positionen!$E$3:$E$74,Berechnung!$O$5)</f>
        <v>1710200</v>
      </c>
      <c r="D37" s="28" t="n">
        <f aca="false">C37-B37</f>
        <v>942200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</row>
    <row r="38" customFormat="false" ht="15" hidden="false" customHeight="false" outlineLevel="0" collapsed="false">
      <c r="A38" s="27" t="s">
        <v>108</v>
      </c>
      <c r="B38" s="28" t="n">
        <f aca="false">SUMIFS(Positionen!$K$3:$K$74,Positionen!$G$3:$G$74,$A38,Positionen!$A$3:$A$74,Berechnung!$O$4,Positionen!$E$3:$E$74,Berechnung!$O$5)</f>
        <v>300000</v>
      </c>
      <c r="C38" s="28" t="n">
        <f aca="false">SUMIFS(Positionen!$L$3:$L$74,Positionen!$G$3:$G$74,$A38,Positionen!$A$3:$A$74,Berechnung!$O$4,Positionen!$E$3:$E$74,Berechnung!$O$5)</f>
        <v>300000</v>
      </c>
      <c r="D38" s="28" t="n">
        <f aca="false">C38-B38</f>
        <v>0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 customFormat="false" ht="1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</row>
    <row r="40" customFormat="false" ht="1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</row>
    <row r="41" customFormat="false" ht="15" hidden="false" customHeight="false" outlineLevel="0" collapsed="false">
      <c r="A41" s="31" t="s">
        <v>525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</row>
    <row r="42" customFormat="false" ht="30" hidden="false" customHeight="true" outlineLevel="0" collapsed="false">
      <c r="A42" s="8" t="s">
        <v>17</v>
      </c>
      <c r="B42" s="8" t="s">
        <v>526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 customFormat="false" ht="15" hidden="false" customHeight="false" outlineLevel="0" collapsed="false">
      <c r="A43" s="27" t="str">
        <f aca="false">Positionen!F3</f>
        <v>L-EDV Client</v>
      </c>
      <c r="B43" s="27" t="n">
        <f aca="false">IF(AND(OR(Dashboard!$C$5="Alle",Positionen!A3=Dashboard!$C$5),OR(Dashboard!$C$7="Alle",Positionen!E3=Dashboard!$C$7)),ABS(Positionen!M3)+ROW()/1000000,"")</f>
        <v>100000.000043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</row>
    <row r="44" customFormat="false" ht="15" hidden="false" customHeight="false" outlineLevel="0" collapsed="false">
      <c r="A44" s="27" t="str">
        <f aca="false">Positionen!F4</f>
        <v>L-EDV Drucker Ersatzteile</v>
      </c>
      <c r="B44" s="27" t="n">
        <f aca="false">IF(AND(OR(Dashboard!$C$5="Alle",Positionen!A4=Dashboard!$C$5),OR(Dashboard!$C$7="Alle",Positionen!E4=Dashboard!$C$7)),ABS(Positionen!M4)+ROW()/1000000,"")</f>
        <v>2000.000044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</row>
    <row r="45" customFormat="false" ht="15" hidden="false" customHeight="false" outlineLevel="0" collapsed="false">
      <c r="A45" s="27" t="str">
        <f aca="false">Positionen!F5</f>
        <v>L-EDV Kleinteile</v>
      </c>
      <c r="B45" s="27" t="n">
        <f aca="false">IF(AND(OR(Dashboard!$C$5="Alle",Positionen!A5=Dashboard!$C$5),OR(Dashboard!$C$7="Alle",Positionen!E5=Dashboard!$C$7)),ABS(Positionen!M5)+ROW()/1000000,"")</f>
        <v>1000.000045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</row>
    <row r="46" customFormat="false" ht="15" hidden="false" customHeight="false" outlineLevel="0" collapsed="false">
      <c r="A46" s="27" t="str">
        <f aca="false">Positionen!F6</f>
        <v>L-EDV Logistik</v>
      </c>
      <c r="B46" s="27" t="n">
        <f aca="false">IF(AND(OR(Dashboard!$C$5="Alle",Positionen!A6=Dashboard!$C$5),OR(Dashboard!$C$7="Alle",Positionen!E6=Dashboard!$C$7)),ABS(Positionen!M6)+ROW()/1000000,"")</f>
        <v>20000.000046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  <row r="47" customFormat="false" ht="15" hidden="false" customHeight="false" outlineLevel="0" collapsed="false">
      <c r="A47" s="27" t="str">
        <f aca="false">Positionen!F7</f>
        <v>L-EDV Server</v>
      </c>
      <c r="B47" s="27" t="n">
        <f aca="false">IF(AND(OR(Dashboard!$C$5="Alle",Positionen!A7=Dashboard!$C$5),OR(Dashboard!$C$7="Alle",Positionen!E7=Dashboard!$C$7)),ABS(Positionen!M7)+ROW()/1000000,"")</f>
        <v>22000.000047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</row>
    <row r="48" customFormat="false" ht="15" hidden="false" customHeight="false" outlineLevel="0" collapsed="false">
      <c r="A48" s="27" t="str">
        <f aca="false">Positionen!F8</f>
        <v>Sammler für IT Kleinteile Stammhaus</v>
      </c>
      <c r="B48" s="27" t="n">
        <f aca="false">IF(AND(OR(Dashboard!$C$5="Alle",Positionen!A8=Dashboard!$C$5),OR(Dashboard!$C$7="Alle",Positionen!E8=Dashboard!$C$7)),ABS(Positionen!M8)+ROW()/1000000,"")</f>
        <v>4.8E-005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</row>
    <row r="49" customFormat="false" ht="15" hidden="false" customHeight="false" outlineLevel="0" collapsed="false">
      <c r="A49" s="27" t="str">
        <f aca="false">Positionen!F9</f>
        <v>ITSM CSI Fokus</v>
      </c>
      <c r="B49" s="27" t="n">
        <f aca="false">IF(AND(OR(Dashboard!$C$5="Alle",Positionen!A9=Dashboard!$C$5),OR(Dashboard!$C$7="Alle",Positionen!E9=Dashboard!$C$7)),ABS(Positionen!M9)+ROW()/1000000,"")</f>
        <v>50000.000049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0" customFormat="false" ht="15" hidden="false" customHeight="false" outlineLevel="0" collapsed="false">
      <c r="A50" s="27" t="str">
        <f aca="false">Positionen!F10</f>
        <v>ITSM Development</v>
      </c>
      <c r="B50" s="27" t="n">
        <f aca="false">IF(AND(OR(Dashboard!$C$5="Alle",Positionen!A10=Dashboard!$C$5),OR(Dashboard!$C$7="Alle",Positionen!E10=Dashboard!$C$7)),ABS(Positionen!M10)+ROW()/1000000,"")</f>
        <v>85000.00005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</row>
    <row r="51" customFormat="false" ht="15" hidden="false" customHeight="false" outlineLevel="0" collapsed="false">
      <c r="A51" s="27" t="str">
        <f aca="false">Positionen!F11</f>
        <v>ServiceNow Enterpise Contract</v>
      </c>
      <c r="B51" s="27" t="n">
        <f aca="false">IF(AND(OR(Dashboard!$C$5="Alle",Positionen!A11=Dashboard!$C$5),OR(Dashboard!$C$7="Alle",Positionen!E11=Dashboard!$C$7)),ABS(Positionen!M11)+ROW()/1000000,"")</f>
        <v>375000.000051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</row>
    <row r="52" customFormat="false" ht="15" hidden="false" customHeight="false" outlineLevel="0" collapsed="false">
      <c r="A52" s="27" t="str">
        <f aca="false">Positionen!F12</f>
        <v>ServiceNow Modul IT Operation Monitoring ITOM (D-020936)</v>
      </c>
      <c r="B52" s="27" t="n">
        <f aca="false">IF(AND(OR(Dashboard!$C$5="Alle",Positionen!A12=Dashboard!$C$5),OR(Dashboard!$C$7="Alle",Positionen!E12=Dashboard!$C$7)),ABS(Positionen!M12)+ROW()/1000000,"")</f>
        <v>400000.000052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</row>
    <row r="53" customFormat="false" ht="15" hidden="false" customHeight="false" outlineLevel="0" collapsed="false">
      <c r="A53" s="27" t="str">
        <f aca="false">Positionen!F13</f>
        <v>ServiceNow Modul Release Management (SAP)</v>
      </c>
      <c r="B53" s="27" t="n">
        <f aca="false">IF(AND(OR(Dashboard!$C$5="Alle",Positionen!A13=Dashboard!$C$5),OR(Dashboard!$C$7="Alle",Positionen!E13=Dashboard!$C$7)),ABS(Positionen!M13)+ROW()/1000000,"")</f>
        <v>85000.000053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</row>
    <row r="54" customFormat="false" ht="15" hidden="false" customHeight="false" outlineLevel="0" collapsed="false">
      <c r="A54" s="27" t="str">
        <f aca="false">Positionen!F14</f>
        <v>ServiceNow Plattform Maintenance</v>
      </c>
      <c r="B54" s="27" t="n">
        <f aca="false">IF(AND(OR(Dashboard!$C$5="Alle",Positionen!A14=Dashboard!$C$5),OR(Dashboard!$C$7="Alle",Positionen!E14=Dashboard!$C$7)),ABS(Positionen!M14)+ROW()/1000000,"")</f>
        <v>140000.000054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</row>
    <row r="55" customFormat="false" ht="15" hidden="false" customHeight="false" outlineLevel="0" collapsed="false">
      <c r="A55" s="27" t="str">
        <f aca="false">Positionen!F15</f>
        <v>ServiceNow Plattform Managed Service Operation</v>
      </c>
      <c r="B55" s="27" t="n">
        <f aca="false">IF(AND(OR(Dashboard!$C$5="Alle",Positionen!A15=Dashboard!$C$5),OR(Dashboard!$C$7="Alle",Positionen!E15=Dashboard!$C$7)),ABS(Positionen!M15)+ROW()/1000000,"")</f>
        <v>120000.000055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</row>
    <row r="56" customFormat="false" ht="15" hidden="false" customHeight="false" outlineLevel="0" collapsed="false">
      <c r="A56" s="27" t="str">
        <f aca="false">Positionen!F16</f>
        <v>ServiceNow SBS Module</v>
      </c>
      <c r="B56" s="27" t="n">
        <f aca="false">IF(AND(OR(Dashboard!$C$5="Alle",Positionen!A16=Dashboard!$C$5),OR(Dashboard!$C$7="Alle",Positionen!E16=Dashboard!$C$7)),ABS(Positionen!M16)+ROW()/1000000,"")</f>
        <v>50000.000056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</row>
    <row r="57" customFormat="false" ht="15" hidden="false" customHeight="false" outlineLevel="0" collapsed="false">
      <c r="A57" s="27" t="str">
        <f aca="false">Positionen!F17</f>
        <v>ServiceNow SEPM Projekt Gestehung 2027 (D-020932)</v>
      </c>
      <c r="B57" s="27" t="n">
        <f aca="false">IF(AND(OR(Dashboard!$C$5="Alle",Positionen!A17=Dashboard!$C$5),OR(Dashboard!$C$7="Alle",Positionen!E17=Dashboard!$C$7)),ABS(Positionen!M17)+ROW()/1000000,"")</f>
        <v>800000.000057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</row>
    <row r="58" customFormat="false" ht="15" hidden="false" customHeight="false" outlineLevel="0" collapsed="false">
      <c r="A58" s="27" t="str">
        <f aca="false">Positionen!F18</f>
        <v>ServiceNow SPM - Strategic Portfolio Management (D-020932)</v>
      </c>
      <c r="B58" s="27" t="n">
        <f aca="false">IF(AND(OR(Dashboard!$C$5="Alle",Positionen!A18=Dashboard!$C$5),OR(Dashboard!$C$7="Alle",Positionen!E18=Dashboard!$C$7)),ABS(Positionen!M18)+ROW()/1000000,"")</f>
        <v>90000.000058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 customFormat="false" ht="15" hidden="false" customHeight="false" outlineLevel="0" collapsed="false">
      <c r="A59" s="27" t="str">
        <f aca="false">Positionen!F19</f>
        <v>Lexmark DFM</v>
      </c>
      <c r="B59" s="27" t="n">
        <f aca="false">IF(AND(OR(Dashboard!$C$5="Alle",Positionen!A19=Dashboard!$C$5),OR(Dashboard!$C$7="Alle",Positionen!E19=Dashboard!$C$7)),ABS(Positionen!M19)+ROW()/1000000,"")</f>
        <v>600.000059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</row>
    <row r="60" customFormat="false" ht="15" hidden="false" customHeight="false" outlineLevel="0" collapsed="false">
      <c r="A60" s="27" t="str">
        <f aca="false">Positionen!F20</f>
        <v>Lexmark RFID Support</v>
      </c>
      <c r="B60" s="27" t="n">
        <f aca="false">IF(AND(OR(Dashboard!$C$5="Alle",Positionen!A20=Dashboard!$C$5),OR(Dashboard!$C$7="Alle",Positionen!E20=Dashboard!$C$7)),ABS(Positionen!M20)+ROW()/1000000,"")</f>
        <v>12000.00006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</row>
    <row r="61" customFormat="false" ht="15" hidden="false" customHeight="false" outlineLevel="0" collapsed="false">
      <c r="A61" s="27" t="str">
        <f aca="false">Positionen!F21</f>
        <v>LRS - Lizenzen (dopplung SAC 2025)</v>
      </c>
      <c r="B61" s="27" t="n">
        <f aca="false">IF(AND(OR(Dashboard!$C$5="Alle",Positionen!A21=Dashboard!$C$5),OR(Dashboard!$C$7="Alle",Positionen!E21=Dashboard!$C$7)),ABS(Positionen!M21)+ROW()/1000000,"")</f>
        <v>25000.000061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</row>
    <row r="62" customFormat="false" ht="15" hidden="false" customHeight="false" outlineLevel="0" collapsed="false">
      <c r="A62" s="27" t="str">
        <f aca="false">Positionen!F22</f>
        <v>LRS - VPSX Support</v>
      </c>
      <c r="B62" s="27" t="n">
        <f aca="false">IF(AND(OR(Dashboard!$C$5="Alle",Positionen!A22=Dashboard!$C$5),OR(Dashboard!$C$7="Alle",Positionen!E22=Dashboard!$C$7)),ABS(Positionen!M22)+ROW()/1000000,"")</f>
        <v>6.2E-005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</row>
    <row r="63" customFormat="false" ht="15" hidden="false" customHeight="false" outlineLevel="0" collapsed="false">
      <c r="A63" s="27" t="str">
        <f aca="false">Positionen!F23</f>
        <v>LRS - Wartung</v>
      </c>
      <c r="B63" s="27" t="n">
        <f aca="false">IF(AND(OR(Dashboard!$C$5="Alle",Positionen!A23=Dashboard!$C$5),OR(Dashboard!$C$7="Alle",Positionen!E23=Dashboard!$C$7)),ABS(Positionen!M23)+ROW()/1000000,"")</f>
        <v>10000.000063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</row>
    <row r="64" customFormat="false" ht="15" hidden="false" customHeight="false" outlineLevel="0" collapsed="false">
      <c r="A64" s="27" t="str">
        <f aca="false">Positionen!F24</f>
        <v>Plot Management Support</v>
      </c>
      <c r="B64" s="27" t="n">
        <f aca="false">IF(AND(OR(Dashboard!$C$5="Alle",Positionen!A24=Dashboard!$C$5),OR(Dashboard!$C$7="Alle",Positionen!E24=Dashboard!$C$7)),ABS(Positionen!M24)+ROW()/1000000,"")</f>
        <v>6.4E-005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</row>
    <row r="65" customFormat="false" ht="15" hidden="false" customHeight="false" outlineLevel="0" collapsed="false">
      <c r="A65" s="27" t="str">
        <f aca="false">Positionen!F25</f>
        <v>Managed Service Desk</v>
      </c>
      <c r="B65" s="27" t="n">
        <f aca="false">IF(AND(OR(Dashboard!$C$5="Alle",Positionen!A25=Dashboard!$C$5),OR(Dashboard!$C$7="Alle",Positionen!E25=Dashboard!$C$7)),ABS(Positionen!M25)+ROW()/1000000,"")</f>
        <v>6.5E-005</v>
      </c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</row>
    <row r="66" customFormat="false" ht="15" hidden="false" customHeight="false" outlineLevel="0" collapsed="false">
      <c r="A66" s="27" t="str">
        <f aca="false">Positionen!F26</f>
        <v>Off Hour Bechtle Operations</v>
      </c>
      <c r="B66" s="27" t="n">
        <f aca="false">IF(AND(OR(Dashboard!$C$5="Alle",Positionen!A26=Dashboard!$C$5),OR(Dashboard!$C$7="Alle",Positionen!E26=Dashboard!$C$7)),ABS(Positionen!M26)+ROW()/1000000,"")</f>
        <v>12000.000066</v>
      </c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customFormat="false" ht="15" hidden="false" customHeight="false" outlineLevel="0" collapsed="false">
      <c r="A67" s="27" t="str">
        <f aca="false">Positionen!F27</f>
        <v>On-Hour Bechtle</v>
      </c>
      <c r="B67" s="27" t="n">
        <f aca="false">IF(AND(OR(Dashboard!$C$5="Alle",Positionen!A27=Dashboard!$C$5),OR(Dashboard!$C$7="Alle",Positionen!E27=Dashboard!$C$7)),ABS(Positionen!M27)+ROW()/1000000,"")</f>
        <v>4200.000067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</row>
    <row r="68" customFormat="false" ht="15" hidden="false" customHeight="false" outlineLevel="0" collapsed="false">
      <c r="A68" s="27" t="str">
        <f aca="false">Positionen!F28</f>
        <v>Alarming - SMS</v>
      </c>
      <c r="B68" s="27" t="n">
        <f aca="false">IF(AND(OR(Dashboard!$C$5="Alle",Positionen!A28=Dashboard!$C$5),OR(Dashboard!$C$7="Alle",Positionen!E28=Dashboard!$C$7)),ABS(Positionen!M28)+ROW()/1000000,"")</f>
        <v>5500.000068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</row>
    <row r="69" customFormat="false" ht="15" hidden="false" customHeight="false" outlineLevel="0" collapsed="false">
      <c r="A69" s="27" t="str">
        <f aca="false">Positionen!F29</f>
        <v>Heydt Kommunikation 2nd Level UC</v>
      </c>
      <c r="B69" s="27" t="n">
        <f aca="false">IF(AND(OR(Dashboard!$C$5="Alle",Positionen!A29=Dashboard!$C$5),OR(Dashboard!$C$7="Alle",Positionen!E29=Dashboard!$C$7)),ABS(Positionen!M29)+ROW()/1000000,"")</f>
        <v>6.9E-005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</row>
    <row r="70" customFormat="false" ht="15" hidden="false" customHeight="false" outlineLevel="0" collapsed="false">
      <c r="A70" s="27" t="str">
        <f aca="false">Positionen!F30</f>
        <v>L-EDV Instandhaltung UC</v>
      </c>
      <c r="B70" s="27" t="n">
        <f aca="false">IF(AND(OR(Dashboard!$C$5="Alle",Positionen!A30=Dashboard!$C$5),OR(Dashboard!$C$7="Alle",Positionen!E30=Dashboard!$C$7)),ABS(Positionen!M30)+ROW()/1000000,"")</f>
        <v>7E-005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</row>
    <row r="71" customFormat="false" ht="15" hidden="false" customHeight="false" outlineLevel="0" collapsed="false">
      <c r="A71" s="27" t="str">
        <f aca="false">Positionen!F31</f>
        <v>GWG bis 1.000 €</v>
      </c>
      <c r="B71" s="27" t="n">
        <f aca="false">IF(AND(OR(Dashboard!$C$5="Alle",Positionen!A31=Dashboard!$C$5),OR(Dashboard!$C$7="Alle",Positionen!E31=Dashboard!$C$7)),ABS(Positionen!M31)+ROW()/1000000,"")</f>
        <v>7500.000071</v>
      </c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</row>
    <row r="72" customFormat="false" ht="15" hidden="false" customHeight="false" outlineLevel="0" collapsed="false">
      <c r="A72" s="27" t="str">
        <f aca="false">Positionen!F32</f>
        <v>GWG bis 250 €</v>
      </c>
      <c r="B72" s="27" t="n">
        <f aca="false">IF(AND(OR(Dashboard!$C$5="Alle",Positionen!A32=Dashboard!$C$5),OR(Dashboard!$C$7="Alle",Positionen!E32=Dashboard!$C$7)),ABS(Positionen!M32)+ROW()/1000000,"")</f>
        <v>7.2E-005</v>
      </c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customFormat="false" ht="15" hidden="false" customHeight="false" outlineLevel="0" collapsed="false">
      <c r="A73" s="27" t="str">
        <f aca="false">Positionen!F33</f>
        <v>Boardwise VIP Solution</v>
      </c>
      <c r="B73" s="27" t="n">
        <f aca="false">IF(AND(OR(Dashboard!$C$5="Alle",Positionen!A33=Dashboard!$C$5),OR(Dashboard!$C$7="Alle",Positionen!E33=Dashboard!$C$7)),ABS(Positionen!M33)+ROW()/1000000,"")</f>
        <v>7.3E-005</v>
      </c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</row>
    <row r="74" customFormat="false" ht="15" hidden="false" customHeight="false" outlineLevel="0" collapsed="false">
      <c r="A74" s="27" t="str">
        <f aca="false">Positionen!F34</f>
        <v>Efficient Elements Microsoft PowerPoint Plugin</v>
      </c>
      <c r="B74" s="27" t="n">
        <f aca="false">IF(AND(OR(Dashboard!$C$5="Alle",Positionen!A34=Dashboard!$C$5),OR(Dashboard!$C$7="Alle",Positionen!E34=Dashboard!$C$7)),ABS(Positionen!M34)+ROW()/1000000,"")</f>
        <v>1800.000074</v>
      </c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customFormat="false" ht="15" hidden="false" customHeight="false" outlineLevel="0" collapsed="false">
      <c r="A75" s="27" t="str">
        <f aca="false">Positionen!F35</f>
        <v>M365 Beratung (inkl. Implementierung Schnittstellen z.B.: IDM)</v>
      </c>
      <c r="B75" s="27" t="n">
        <f aca="false">IF(AND(OR(Dashboard!$C$5="Alle",Positionen!A35=Dashboard!$C$5),OR(Dashboard!$C$7="Alle",Positionen!E35=Dashboard!$C$7)),ABS(Positionen!M35)+ROW()/1000000,"")</f>
        <v>5000.000075</v>
      </c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</row>
    <row r="76" customFormat="false" ht="15" hidden="false" customHeight="false" outlineLevel="0" collapsed="false">
      <c r="A76" s="27" t="str">
        <f aca="false">Positionen!F36</f>
        <v>MHS Consulting Support &amp; Entwicklung</v>
      </c>
      <c r="B76" s="27" t="n">
        <f aca="false">IF(AND(OR(Dashboard!$C$5="Alle",Positionen!A36=Dashboard!$C$5),OR(Dashboard!$C$7="Alle",Positionen!E36=Dashboard!$C$7)),ABS(Positionen!M36)+ROW()/1000000,"")</f>
        <v>7.6E-005</v>
      </c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</row>
    <row r="77" customFormat="false" ht="15" hidden="false" customHeight="false" outlineLevel="0" collapsed="false">
      <c r="A77" s="27" t="str">
        <f aca="false">Positionen!F37</f>
        <v>Mural Whiteboard Solution</v>
      </c>
      <c r="B77" s="27" t="n">
        <f aca="false">IF(AND(OR(Dashboard!$C$5="Alle",Positionen!A37=Dashboard!$C$5),OR(Dashboard!$C$7="Alle",Positionen!E37=Dashboard!$C$7)),ABS(Positionen!M37)+ROW()/1000000,"")</f>
        <v>7.7E-005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</row>
    <row r="78" customFormat="false" ht="15" hidden="false" customHeight="false" outlineLevel="0" collapsed="false">
      <c r="A78" s="27" t="str">
        <f aca="false">Positionen!F38</f>
        <v>Novacapta Wartung &amp; Support</v>
      </c>
      <c r="B78" s="27" t="n">
        <f aca="false">IF(AND(OR(Dashboard!$C$5="Alle",Positionen!A38=Dashboard!$C$5),OR(Dashboard!$C$7="Alle",Positionen!E38=Dashboard!$C$7)),ABS(Positionen!M38)+ROW()/1000000,"")</f>
        <v>60000.000078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</row>
    <row r="79" customFormat="false" ht="15" hidden="false" customHeight="false" outlineLevel="0" collapsed="false">
      <c r="A79" s="27" t="str">
        <f aca="false">Positionen!F39</f>
        <v>ShareGate Migrations-Tool</v>
      </c>
      <c r="B79" s="27" t="n">
        <f aca="false">IF(AND(OR(Dashboard!$C$5="Alle",Positionen!A39=Dashboard!$C$5),OR(Dashboard!$C$7="Alle",Positionen!E39=Dashboard!$C$7)),ABS(Positionen!M39)+ROW()/1000000,"")</f>
        <v>20000.000079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</row>
    <row r="80" customFormat="false" ht="15" hidden="false" customHeight="false" outlineLevel="0" collapsed="false">
      <c r="A80" s="27" t="str">
        <f aca="false">Positionen!F40</f>
        <v>Think-Cell Microsoft PowerPoint Plugin</v>
      </c>
      <c r="B80" s="27" t="n">
        <f aca="false">IF(AND(OR(Dashboard!$C$5="Alle",Positionen!A40=Dashboard!$C$5),OR(Dashboard!$C$7="Alle",Positionen!E40=Dashboard!$C$7)),ABS(Positionen!M40)+ROW()/1000000,"")</f>
        <v>4500.00008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</row>
    <row r="81" customFormat="false" ht="15" hidden="false" customHeight="false" outlineLevel="0" collapsed="false">
      <c r="A81" s="27" t="str">
        <f aca="false">Positionen!F41</f>
        <v>Treesize</v>
      </c>
      <c r="B81" s="27" t="n">
        <f aca="false">IF(AND(OR(Dashboard!$C$5="Alle",Positionen!A41=Dashboard!$C$5),OR(Dashboard!$C$7="Alle",Positionen!E41=Dashboard!$C$7)),ABS(Positionen!M41)+ROW()/1000000,"")</f>
        <v>1500.000081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</row>
    <row r="82" customFormat="false" ht="15" hidden="false" customHeight="false" outlineLevel="0" collapsed="false">
      <c r="A82" s="27" t="str">
        <f aca="false">Positionen!F42</f>
        <v>Digital Signage Beratung</v>
      </c>
      <c r="B82" s="27" t="n">
        <f aca="false">IF(AND(OR(Dashboard!$C$5="Alle",Positionen!A42=Dashboard!$C$5),OR(Dashboard!$C$7="Alle",Positionen!E42=Dashboard!$C$7)),ABS(Positionen!M42)+ROW()/1000000,"")</f>
        <v>8.2E-005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</row>
    <row r="83" customFormat="false" ht="15" hidden="false" customHeight="false" outlineLevel="0" collapsed="false">
      <c r="A83" s="27" t="str">
        <f aca="false">Positionen!F43</f>
        <v>Digital Signage Software</v>
      </c>
      <c r="B83" s="27" t="n">
        <f aca="false">IF(AND(OR(Dashboard!$C$5="Alle",Positionen!A43=Dashboard!$C$5),OR(Dashboard!$C$7="Alle",Positionen!E43=Dashboard!$C$7)),ABS(Positionen!M43)+ROW()/1000000,"")</f>
        <v>8.3E-005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</row>
    <row r="84" customFormat="false" ht="15" hidden="false" customHeight="false" outlineLevel="0" collapsed="false">
      <c r="A84" s="27" t="str">
        <f aca="false">Positionen!F44</f>
        <v>DMARCAdvisor</v>
      </c>
      <c r="B84" s="27" t="n">
        <f aca="false">IF(AND(OR(Dashboard!$C$5="Alle",Positionen!A44=Dashboard!$C$5),OR(Dashboard!$C$7="Alle",Positionen!E44=Dashboard!$C$7)),ABS(Positionen!M44)+ROW()/1000000,"")</f>
        <v>8.4E-005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</row>
    <row r="85" customFormat="false" ht="15" hidden="false" customHeight="false" outlineLevel="0" collapsed="false">
      <c r="A85" s="27" t="str">
        <f aca="false">Positionen!F45</f>
        <v>Mail-Signature Application (centralized)</v>
      </c>
      <c r="B85" s="27" t="n">
        <f aca="false">IF(AND(OR(Dashboard!$C$5="Alle",Positionen!A45=Dashboard!$C$5),OR(Dashboard!$C$7="Alle",Positionen!E45=Dashboard!$C$7)),ABS(Positionen!M45)+ROW()/1000000,"")</f>
        <v>2500.000085</v>
      </c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</row>
    <row r="86" customFormat="false" ht="15" hidden="false" customHeight="false" outlineLevel="0" collapsed="false">
      <c r="A86" s="27" t="str">
        <f aca="false">Positionen!F46</f>
        <v>Mailjet</v>
      </c>
      <c r="B86" s="27" t="n">
        <f aca="false">IF(AND(OR(Dashboard!$C$5="Alle",Positionen!A46=Dashboard!$C$5),OR(Dashboard!$C$7="Alle",Positionen!E46=Dashboard!$C$7)),ABS(Positionen!M46)+ROW()/1000000,"")</f>
        <v>500.000086</v>
      </c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</row>
    <row r="87" customFormat="false" ht="15" hidden="false" customHeight="false" outlineLevel="0" collapsed="false">
      <c r="A87" s="27" t="str">
        <f aca="false">Positionen!F47</f>
        <v>Mailjet Managed Service</v>
      </c>
      <c r="B87" s="27" t="n">
        <f aca="false">IF(AND(OR(Dashboard!$C$5="Alle",Positionen!A47=Dashboard!$C$5),OR(Dashboard!$C$7="Alle",Positionen!E47=Dashboard!$C$7)),ABS(Positionen!M47)+ROW()/1000000,"")</f>
        <v>8.7E-005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</row>
    <row r="88" customFormat="false" ht="15" hidden="false" customHeight="false" outlineLevel="0" collapsed="false">
      <c r="A88" s="27" t="str">
        <f aca="false">Positionen!F48</f>
        <v>M365 Copilot und Copilot Studio</v>
      </c>
      <c r="B88" s="27" t="n">
        <f aca="false">IF(AND(OR(Dashboard!$C$5="Alle",Positionen!A48=Dashboard!$C$5),OR(Dashboard!$C$7="Alle",Positionen!E48=Dashboard!$C$7)),ABS(Positionen!M48)+ROW()/1000000,"")</f>
        <v>225000.000088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</row>
    <row r="89" customFormat="false" ht="15" hidden="false" customHeight="false" outlineLevel="0" collapsed="false">
      <c r="A89" s="27" t="str">
        <f aca="false">Positionen!F49</f>
        <v>Microsoft M365 EA - Copilot Studio PAG Messages for Andreas Chatpot &amp; additional PoCs</v>
      </c>
      <c r="B89" s="27" t="n">
        <f aca="false">IF(AND(OR(Dashboard!$C$5="Alle",Positionen!A49=Dashboard!$C$5),OR(Dashboard!$C$7="Alle",Positionen!E49=Dashboard!$C$7)),ABS(Positionen!M49)+ROW()/1000000,"")</f>
        <v>8.9E-005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</row>
    <row r="90" customFormat="false" ht="15" hidden="false" customHeight="false" outlineLevel="0" collapsed="false">
      <c r="A90" s="27" t="str">
        <f aca="false">Positionen!F50</f>
        <v>M365 Governance Software</v>
      </c>
      <c r="B90" s="27" t="n">
        <f aca="false">IF(AND(OR(Dashboard!$C$5="Alle",Positionen!A50=Dashboard!$C$5),OR(Dashboard!$C$7="Alle",Positionen!E50=Dashboard!$C$7)),ABS(Positionen!M50)+ROW()/1000000,"")</f>
        <v>10000.00009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</row>
    <row r="91" customFormat="false" ht="15" hidden="false" customHeight="false" outlineLevel="0" collapsed="false">
      <c r="A91" s="27" t="str">
        <f aca="false">Positionen!F51</f>
        <v>Microsoft M365 EA  - Multitenant E1 + E5</v>
      </c>
      <c r="B91" s="27" t="n">
        <f aca="false">IF(AND(OR(Dashboard!$C$5="Alle",Positionen!A51=Dashboard!$C$5),OR(Dashboard!$C$7="Alle",Positionen!E51=Dashboard!$C$7)),ABS(Positionen!M51)+ROW()/1000000,"")</f>
        <v>65000.000091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</row>
    <row r="92" customFormat="false" ht="15" hidden="false" customHeight="false" outlineLevel="0" collapsed="false">
      <c r="A92" s="27" t="str">
        <f aca="false">Positionen!F52</f>
        <v>Microsoft M365 EA -  Visio Plan 1</v>
      </c>
      <c r="B92" s="27" t="n">
        <f aca="false">IF(AND(OR(Dashboard!$C$5="Alle",Positionen!A52=Dashboard!$C$5),OR(Dashboard!$C$7="Alle",Positionen!E52=Dashboard!$C$7)),ABS(Positionen!M52)+ROW()/1000000,"")</f>
        <v>1000.000092</v>
      </c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</row>
    <row r="93" customFormat="false" ht="15" hidden="false" customHeight="false" outlineLevel="0" collapsed="false">
      <c r="A93" s="27" t="str">
        <f aca="false">Positionen!F53</f>
        <v>Microsoft M365 EA -  Visio Plan 2</v>
      </c>
      <c r="B93" s="27" t="n">
        <f aca="false">IF(AND(OR(Dashboard!$C$5="Alle",Positionen!A53=Dashboard!$C$5),OR(Dashboard!$C$7="Alle",Positionen!E53=Dashboard!$C$7)),ABS(Positionen!M53)+ROW()/1000000,"")</f>
        <v>500.000093</v>
      </c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</row>
    <row r="94" customFormat="false" ht="15" hidden="false" customHeight="false" outlineLevel="0" collapsed="false">
      <c r="A94" s="27" t="str">
        <f aca="false">Positionen!F54</f>
        <v>Microsoft M365 EA - Entra und Intune</v>
      </c>
      <c r="B94" s="27" t="n">
        <f aca="false">IF(AND(OR(Dashboard!$C$5="Alle",Positionen!A54=Dashboard!$C$5),OR(Dashboard!$C$7="Alle",Positionen!E54=Dashboard!$C$7)),ABS(Positionen!M54)+ROW()/1000000,"")</f>
        <v>9.4E-005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</row>
    <row r="95" customFormat="false" ht="15" hidden="false" customHeight="false" outlineLevel="0" collapsed="false">
      <c r="A95" s="27" t="str">
        <f aca="false">Positionen!F55</f>
        <v>Microsoft M365 EA - GitHub</v>
      </c>
      <c r="B95" s="27" t="n">
        <f aca="false">IF(AND(OR(Dashboard!$C$5="Alle",Positionen!A55=Dashboard!$C$5),OR(Dashboard!$C$7="Alle",Positionen!E55=Dashboard!$C$7)),ABS(Positionen!M55)+ROW()/1000000,"")</f>
        <v>9.5E-005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</row>
    <row r="96" customFormat="false" ht="15" hidden="false" customHeight="false" outlineLevel="0" collapsed="false">
      <c r="A96" s="27" t="str">
        <f aca="false">Positionen!F56</f>
        <v>Microsoft M365 EA - PowerBI Premium Cap</v>
      </c>
      <c r="B96" s="27" t="n">
        <f aca="false">IF(AND(OR(Dashboard!$C$5="Alle",Positionen!A56=Dashboard!$C$5),OR(Dashboard!$C$7="Alle",Positionen!E56=Dashboard!$C$7)),ABS(Positionen!M56)+ROW()/1000000,"")</f>
        <v>9.6E-005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</row>
    <row r="97" customFormat="false" ht="15" hidden="false" customHeight="false" outlineLevel="0" collapsed="false">
      <c r="A97" s="27" t="str">
        <f aca="false">Positionen!F57</f>
        <v>Microsoft M365 EA - Project Online</v>
      </c>
      <c r="B97" s="27" t="n">
        <f aca="false">IF(AND(OR(Dashboard!$C$5="Alle",Positionen!A57=Dashboard!$C$5),OR(Dashboard!$C$7="Alle",Positionen!E57=Dashboard!$C$7)),ABS(Positionen!M57)+ROW()/1000000,"")</f>
        <v>9.7E-005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</row>
    <row r="98" customFormat="false" ht="15" hidden="false" customHeight="false" outlineLevel="0" collapsed="false">
      <c r="A98" s="27" t="str">
        <f aca="false">Positionen!F58</f>
        <v>Microsoft M365 EA - SharePoint Storage</v>
      </c>
      <c r="B98" s="27" t="n">
        <f aca="false">IF(AND(OR(Dashboard!$C$5="Alle",Positionen!A58=Dashboard!$C$5),OR(Dashboard!$C$7="Alle",Positionen!E58=Dashboard!$C$7)),ABS(Positionen!M58)+ROW()/1000000,"")</f>
        <v>40000.000098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</row>
    <row r="99" customFormat="false" ht="15" hidden="false" customHeight="false" outlineLevel="0" collapsed="false">
      <c r="A99" s="27" t="str">
        <f aca="false">Positionen!F59</f>
        <v>Microsoft M365 EA - Teams Rooms</v>
      </c>
      <c r="B99" s="27" t="n">
        <f aca="false">IF(AND(OR(Dashboard!$C$5="Alle",Positionen!A59=Dashboard!$C$5),OR(Dashboard!$C$7="Alle",Positionen!E59=Dashboard!$C$7)),ABS(Positionen!M59)+ROW()/1000000,"")</f>
        <v>9000.000099</v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</row>
    <row r="100" customFormat="false" ht="15" hidden="false" customHeight="false" outlineLevel="0" collapsed="false">
      <c r="A100" s="27" t="str">
        <f aca="false">Positionen!F60</f>
        <v>[Ratio Topf] Teams Phone Group EMEA / NMSA / ASPA UC and non-UC migration</v>
      </c>
      <c r="B100" s="27" t="n">
        <f aca="false">IF(AND(OR(Dashboard!$C$5="Alle",Positionen!A60=Dashboard!$C$5),OR(Dashboard!$C$7="Alle",Positionen!E60=Dashboard!$C$7)),ABS(Positionen!M60)+ROW()/1000000,"")</f>
        <v>0.0001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</row>
    <row r="101" customFormat="false" ht="15" hidden="false" customHeight="false" outlineLevel="0" collapsed="false">
      <c r="A101" s="27" t="str">
        <f aca="false">Positionen!F61</f>
        <v>avodaq Beratung</v>
      </c>
      <c r="B101" s="27" t="n">
        <f aca="false">IF(AND(OR(Dashboard!$C$5="Alle",Positionen!A61=Dashboard!$C$5),OR(Dashboard!$C$7="Alle",Positionen!E61=Dashboard!$C$7)),ABS(Positionen!M61)+ROW()/1000000,"")</f>
        <v>0.000101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</row>
    <row r="102" customFormat="false" ht="15" hidden="false" customHeight="false" outlineLevel="0" collapsed="false">
      <c r="A102" s="27" t="str">
        <f aca="false">Positionen!F62</f>
        <v>Cisco CVI</v>
      </c>
      <c r="B102" s="27" t="n">
        <f aca="false">IF(AND(OR(Dashboard!$C$5="Alle",Positionen!A62=Dashboard!$C$5),OR(Dashboard!$C$7="Alle",Positionen!E62=Dashboard!$C$7)),ABS(Positionen!M62)+ROW()/1000000,"")</f>
        <v>5500.000102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</row>
    <row r="103" customFormat="false" ht="15" hidden="false" customHeight="false" outlineLevel="0" collapsed="false">
      <c r="A103" s="27" t="str">
        <f aca="false">Positionen!F63</f>
        <v>Fax Managed Service</v>
      </c>
      <c r="B103" s="27" t="n">
        <f aca="false">IF(AND(OR(Dashboard!$C$5="Alle",Positionen!A63=Dashboard!$C$5),OR(Dashboard!$C$7="Alle",Positionen!E63=Dashboard!$C$7)),ABS(Positionen!M63)+ROW()/1000000,"")</f>
        <v>500.000103</v>
      </c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</row>
    <row r="104" customFormat="false" ht="15" hidden="false" customHeight="false" outlineLevel="0" collapsed="false">
      <c r="A104" s="27" t="str">
        <f aca="false">Positionen!F64</f>
        <v>Fax over IP</v>
      </c>
      <c r="B104" s="27" t="n">
        <f aca="false">IF(AND(OR(Dashboard!$C$5="Alle",Positionen!A64=Dashboard!$C$5),OR(Dashboard!$C$7="Alle",Positionen!E64=Dashboard!$C$7)),ABS(Positionen!M64)+ROW()/1000000,"")</f>
        <v>500.000104</v>
      </c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</row>
    <row r="105" customFormat="false" ht="15" hidden="false" customHeight="false" outlineLevel="0" collapsed="false">
      <c r="A105" s="27" t="str">
        <f aca="false">Positionen!F65</f>
        <v>Heydt Consulting UC Wartung &amp; Support</v>
      </c>
      <c r="B105" s="27" t="n">
        <f aca="false">IF(AND(OR(Dashboard!$C$5="Alle",Positionen!A65=Dashboard!$C$5),OR(Dashboard!$C$7="Alle",Positionen!E65=Dashboard!$C$7)),ABS(Positionen!M65)+ROW()/1000000,"")</f>
        <v>5000.000105</v>
      </c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</row>
    <row r="106" customFormat="false" ht="15" hidden="false" customHeight="false" outlineLevel="0" collapsed="false">
      <c r="A106" s="27" t="str">
        <f aca="false">Positionen!F66</f>
        <v>L-EDV Unterstützung UC</v>
      </c>
      <c r="B106" s="27" t="n">
        <f aca="false">IF(AND(OR(Dashboard!$C$5="Alle",Positionen!A66=Dashboard!$C$5),OR(Dashboard!$C$7="Alle",Positionen!E66=Dashboard!$C$7)),ABS(Positionen!M66)+ROW()/1000000,"")</f>
        <v>45.000106</v>
      </c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</row>
    <row r="107" customFormat="false" ht="15" hidden="false" customHeight="false" outlineLevel="0" collapsed="false">
      <c r="A107" s="27" t="str">
        <f aca="false">Positionen!F67</f>
        <v>Managed Service Phone + Meeting (avodaq)</v>
      </c>
      <c r="B107" s="27" t="n">
        <f aca="false">IF(AND(OR(Dashboard!$C$5="Alle",Positionen!A67=Dashboard!$C$5),OR(Dashboard!$C$7="Alle",Positionen!E67=Dashboard!$C$7)),ABS(Positionen!M67)+ROW()/1000000,"")</f>
        <v>0.000107</v>
      </c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</row>
    <row r="108" customFormat="false" ht="15" hidden="false" customHeight="false" outlineLevel="0" collapsed="false">
      <c r="A108" s="27" t="str">
        <f aca="false">Positionen!F68</f>
        <v>Managed Service Videkonferenz (avodaq)</v>
      </c>
      <c r="B108" s="27" t="n">
        <f aca="false">IF(AND(OR(Dashboard!$C$5="Alle",Positionen!A68=Dashboard!$C$5),OR(Dashboard!$C$7="Alle",Positionen!E68=Dashboard!$C$7)),ABS(Positionen!M68)+ROW()/1000000,"")</f>
        <v>0.000108</v>
      </c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</row>
    <row r="109" customFormat="false" ht="15" hidden="false" customHeight="false" outlineLevel="0" collapsed="false">
      <c r="A109" s="27" t="str">
        <f aca="false">Positionen!F69</f>
        <v>MS Teams Neue Telefone Produktion</v>
      </c>
      <c r="B109" s="27" t="n">
        <f aca="false">IF(AND(OR(Dashboard!$C$5="Alle",Positionen!A69=Dashboard!$C$5),OR(Dashboard!$C$7="Alle",Positionen!E69=Dashboard!$C$7)),ABS(Positionen!M69)+ROW()/1000000,"")</f>
        <v>0.000109</v>
      </c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</row>
    <row r="110" customFormat="false" ht="15" hidden="false" customHeight="false" outlineLevel="0" collapsed="false">
      <c r="A110" s="27" t="str">
        <f aca="false">Positionen!F70</f>
        <v>MS Teams Telefone (Standard)</v>
      </c>
      <c r="B110" s="27" t="n">
        <f aca="false">IF(AND(OR(Dashboard!$C$5="Alle",Positionen!A70=Dashboard!$C$5),OR(Dashboard!$C$7="Alle",Positionen!E70=Dashboard!$C$7)),ABS(Positionen!M70)+ROW()/1000000,"")</f>
        <v>0.00011</v>
      </c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</row>
    <row r="111" customFormat="false" ht="15" hidden="false" customHeight="false" outlineLevel="0" collapsed="false">
      <c r="A111" s="27" t="str">
        <f aca="false">Positionen!F71</f>
        <v>Unified Communication Managed Service</v>
      </c>
      <c r="B111" s="27" t="n">
        <f aca="false">IF(AND(OR(Dashboard!$C$5="Alle",Positionen!A71=Dashboard!$C$5),OR(Dashboard!$C$7="Alle",Positionen!E71=Dashboard!$C$7)),ABS(Positionen!M71)+ROW()/1000000,"")</f>
        <v>490000.000111</v>
      </c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</row>
    <row r="112" customFormat="false" ht="15" hidden="false" customHeight="false" outlineLevel="0" collapsed="false">
      <c r="A112" s="27" t="str">
        <f aca="false">Positionen!F72</f>
        <v>Webex CTI CRM Integration</v>
      </c>
      <c r="B112" s="27" t="n">
        <f aca="false">IF(AND(OR(Dashboard!$C$5="Alle",Positionen!A72=Dashboard!$C$5),OR(Dashboard!$C$7="Alle",Positionen!E72=Dashboard!$C$7)),ABS(Positionen!M72)+ROW()/1000000,"")</f>
        <v>2750.000112</v>
      </c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</row>
    <row r="113" customFormat="false" ht="15" hidden="false" customHeight="false" outlineLevel="0" collapsed="false">
      <c r="A113" s="27" t="str">
        <f aca="false">Positionen!F73</f>
        <v>Webex FlexPlan - Calling</v>
      </c>
      <c r="B113" s="27" t="n">
        <f aca="false">IF(AND(OR(Dashboard!$C$5="Alle",Positionen!A73=Dashboard!$C$5),OR(Dashboard!$C$7="Alle",Positionen!E73=Dashboard!$C$7)),ABS(Positionen!M73)+ROW()/1000000,"")</f>
        <v>3000.000113</v>
      </c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</row>
    <row r="114" customFormat="false" ht="15" hidden="false" customHeight="false" outlineLevel="0" collapsed="false">
      <c r="A114" s="27" t="str">
        <f aca="false">Positionen!F74</f>
        <v>Webex FlexPlan - Suite</v>
      </c>
      <c r="B114" s="27" t="n">
        <f aca="false">IF(AND(OR(Dashboard!$C$5="Alle",Positionen!A74=Dashboard!$C$5),OR(Dashboard!$C$7="Alle",Positionen!E74=Dashboard!$C$7)),ABS(Positionen!M74)+ROW()/1000000,"")</f>
        <v>75000.000114</v>
      </c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</row>
    <row r="115" customFormat="false" ht="15" hidden="false" customHeight="false" outlineLevel="0" collapsed="false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</row>
    <row r="116" customFormat="false" ht="15" hidden="false" customHeight="false" outlineLevel="0" collapsed="false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</row>
    <row r="117" customFormat="false" ht="15" hidden="false" customHeight="false" outlineLevel="0" collapsed="false">
      <c r="A117" s="31" t="s">
        <v>527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</row>
    <row r="118" customFormat="false" ht="30" hidden="false" customHeight="true" outlineLevel="0" collapsed="false">
      <c r="A118" s="8" t="s">
        <v>17</v>
      </c>
      <c r="B118" s="8" t="s">
        <v>521</v>
      </c>
      <c r="C118" s="8" t="s">
        <v>20</v>
      </c>
      <c r="D118" s="8" t="s">
        <v>21</v>
      </c>
      <c r="E118" s="8" t="s">
        <v>18</v>
      </c>
      <c r="F118" s="8" t="s">
        <v>19</v>
      </c>
      <c r="G118" s="8" t="s">
        <v>22</v>
      </c>
      <c r="H118" s="27"/>
      <c r="I118" s="27"/>
      <c r="J118" s="27"/>
      <c r="K118" s="27"/>
      <c r="L118" s="27"/>
      <c r="M118" s="27"/>
      <c r="N118" s="27"/>
    </row>
    <row r="119" customFormat="false" ht="15" hidden="false" customHeight="false" outlineLevel="0" collapsed="false">
      <c r="A119" s="27" t="str">
        <f aca="false">IFERROR(INDEX(Positionen!$F$3:$F$74,MATCH(LARGE(Berechnung!$B$43:$B$114,1),Berechnung!$B$43:$B$114,0)),"")</f>
        <v>ServiceNow SEPM Projekt Gestehung 2027 (D-020932)</v>
      </c>
      <c r="B119" s="28" t="n">
        <f aca="false">IFERROR(INDEX(Positionen!$M$3:$M$74,MATCH(LARGE(Berechnung!$B$43:$B$114,1),Berechnung!$B$43:$B$114,0)),"")</f>
        <v>800000</v>
      </c>
      <c r="C119" s="28" t="n">
        <f aca="false">IFERROR(INDEX(Positionen!$K$3:$K$74,MATCH(LARGE(Berechnung!$B$43:$B$114,1),Berechnung!$B$43:$B$114,0)),"")</f>
        <v>0</v>
      </c>
      <c r="D119" s="28" t="n">
        <f aca="false">IFERROR(INDEX(Positionen!$L$3:$L$74,MATCH(LARGE(Berechnung!$B$43:$B$114,1),Berechnung!$B$43:$B$114,0)),"")</f>
        <v>800000</v>
      </c>
      <c r="E119" s="27" t="str">
        <f aca="false">IFERROR(INDEX(Positionen!$A$3:$A$74,MATCH(LARGE(Berechnung!$B$43:$B$114,1),Berechnung!$B$43:$B$114,0)),"")</f>
        <v>DE2060204</v>
      </c>
      <c r="F119" s="27" t="str">
        <f aca="false">IFERROR(INDEX(Positionen!$E$3:$E$74,MATCH(LARGE(Berechnung!$B$43:$B$114,1),Berechnung!$B$43:$B$114,0)),"")</f>
        <v>ITSM &amp; ServiceNow</v>
      </c>
      <c r="G119" s="27" t="str">
        <f aca="false">IFERROR(INDEX(Positionen!$O$3:$O$74,MATCH(LARGE(Berechnung!$B$43:$B$114,1),Berechnung!$B$43:$B$114,0)),"")</f>
        <v>neu</v>
      </c>
      <c r="H119" s="27"/>
      <c r="I119" s="27"/>
      <c r="J119" s="27"/>
      <c r="K119" s="27"/>
      <c r="L119" s="27"/>
      <c r="M119" s="27"/>
      <c r="N119" s="27"/>
    </row>
    <row r="120" customFormat="false" ht="15" hidden="false" customHeight="false" outlineLevel="0" collapsed="false">
      <c r="A120" s="27" t="str">
        <f aca="false">IFERROR(INDEX(Positionen!$F$3:$F$74,MATCH(LARGE(Berechnung!$B$43:$B$114,2),Berechnung!$B$43:$B$114,0)),"")</f>
        <v>Unified Communication Managed Service</v>
      </c>
      <c r="B120" s="28" t="n">
        <f aca="false">IFERROR(INDEX(Positionen!$M$3:$M$74,MATCH(LARGE(Berechnung!$B$43:$B$114,2),Berechnung!$B$43:$B$114,0)),"")</f>
        <v>490000</v>
      </c>
      <c r="C120" s="28" t="n">
        <f aca="false">IFERROR(INDEX(Positionen!$K$3:$K$74,MATCH(LARGE(Berechnung!$B$43:$B$114,2),Berechnung!$B$43:$B$114,0)),"")</f>
        <v>0</v>
      </c>
      <c r="D120" s="28" t="n">
        <f aca="false">IFERROR(INDEX(Positionen!$L$3:$L$74,MATCH(LARGE(Berechnung!$B$43:$B$114,2),Berechnung!$B$43:$B$114,0)),"")</f>
        <v>490000</v>
      </c>
      <c r="E120" s="27" t="str">
        <f aca="false">IFERROR(INDEX(Positionen!$A$3:$A$74,MATCH(LARGE(Berechnung!$B$43:$B$114,2),Berechnung!$B$43:$B$114,0)),"")</f>
        <v>DE206210</v>
      </c>
      <c r="F120" s="27" t="str">
        <f aca="false">IFERROR(INDEX(Positionen!$E$3:$E$74,MATCH(LARGE(Berechnung!$B$43:$B$114,2),Berechnung!$B$43:$B$114,0)),"")</f>
        <v>Unified Communications &amp; Telefonie</v>
      </c>
      <c r="G120" s="27" t="str">
        <f aca="false">IFERROR(INDEX(Positionen!$O$3:$O$74,MATCH(LARGE(Berechnung!$B$43:$B$114,2),Berechnung!$B$43:$B$114,0)),"")</f>
        <v>neu</v>
      </c>
      <c r="H120" s="27"/>
      <c r="I120" s="27"/>
      <c r="J120" s="27"/>
      <c r="K120" s="27"/>
      <c r="L120" s="27"/>
      <c r="M120" s="27"/>
      <c r="N120" s="27"/>
    </row>
    <row r="121" customFormat="false" ht="15" hidden="false" customHeight="false" outlineLevel="0" collapsed="false">
      <c r="A121" s="0" t="str">
        <f aca="false">IFERROR(INDEX(Positionen!$F$3:$F$74,MATCH(LARGE(Berechnung!$B$43:$B$114,3),Berechnung!$B$43:$B$114,0)),"")</f>
        <v>ServiceNow Modul IT Operation Monitoring ITOM (D-020936)</v>
      </c>
      <c r="B121" s="32" t="n">
        <f aca="false">IFERROR(INDEX(Positionen!$M$3:$M$74,MATCH(LARGE(Berechnung!$B$43:$B$114,3),Berechnung!$B$43:$B$114,0)),"")</f>
        <v>400000</v>
      </c>
      <c r="C121" s="32" t="n">
        <f aca="false">IFERROR(INDEX(Positionen!$K$3:$K$74,MATCH(LARGE(Berechnung!$B$43:$B$114,3),Berechnung!$B$43:$B$114,0)),"")</f>
        <v>0</v>
      </c>
      <c r="D121" s="32" t="n">
        <f aca="false">IFERROR(INDEX(Positionen!$L$3:$L$74,MATCH(LARGE(Berechnung!$B$43:$B$114,3),Berechnung!$B$43:$B$114,0)),"")</f>
        <v>400000</v>
      </c>
      <c r="E121" s="0" t="str">
        <f aca="false">IFERROR(INDEX(Positionen!$A$3:$A$74,MATCH(LARGE(Berechnung!$B$43:$B$114,3),Berechnung!$B$43:$B$114,0)),"")</f>
        <v>DE2060204</v>
      </c>
      <c r="F121" s="0" t="str">
        <f aca="false">IFERROR(INDEX(Positionen!$E$3:$E$74,MATCH(LARGE(Berechnung!$B$43:$B$114,3),Berechnung!$B$43:$B$114,0)),"")</f>
        <v>ITSM &amp; ServiceNow</v>
      </c>
      <c r="G121" s="0" t="str">
        <f aca="false">IFERROR(INDEX(Positionen!$O$3:$O$74,MATCH(LARGE(Berechnung!$B$43:$B$114,3),Berechnung!$B$43:$B$114,0)),"")</f>
        <v>neu</v>
      </c>
    </row>
    <row r="122" customFormat="false" ht="15" hidden="false" customHeight="false" outlineLevel="0" collapsed="false">
      <c r="A122" s="0" t="str">
        <f aca="false">IFERROR(INDEX(Positionen!$F$3:$F$74,MATCH(LARGE(Berechnung!$B$43:$B$114,4),Berechnung!$B$43:$B$114,0)),"")</f>
        <v>ServiceNow Enterpise Contract</v>
      </c>
      <c r="B122" s="32" t="n">
        <f aca="false">IFERROR(INDEX(Positionen!$M$3:$M$74,MATCH(LARGE(Berechnung!$B$43:$B$114,4),Berechnung!$B$43:$B$114,0)),"")</f>
        <v>375000</v>
      </c>
      <c r="C122" s="32" t="n">
        <f aca="false">IFERROR(INDEX(Positionen!$K$3:$K$74,MATCH(LARGE(Berechnung!$B$43:$B$114,4),Berechnung!$B$43:$B$114,0)),"")</f>
        <v>725000</v>
      </c>
      <c r="D122" s="32" t="n">
        <f aca="false">IFERROR(INDEX(Positionen!$L$3:$L$74,MATCH(LARGE(Berechnung!$B$43:$B$114,4),Berechnung!$B$43:$B$114,0)),"")</f>
        <v>1100000</v>
      </c>
      <c r="E122" s="0" t="str">
        <f aca="false">IFERROR(INDEX(Positionen!$A$3:$A$74,MATCH(LARGE(Berechnung!$B$43:$B$114,4),Berechnung!$B$43:$B$114,0)),"")</f>
        <v>DE2060204</v>
      </c>
      <c r="F122" s="0" t="str">
        <f aca="false">IFERROR(INDEX(Positionen!$E$3:$E$74,MATCH(LARGE(Berechnung!$B$43:$B$114,4),Berechnung!$B$43:$B$114,0)),"")</f>
        <v>ITSM &amp; ServiceNow</v>
      </c>
      <c r="G122" s="0" t="str">
        <f aca="false">IFERROR(INDEX(Positionen!$O$3:$O$74,MATCH(LARGE(Berechnung!$B$43:$B$114,4),Berechnung!$B$43:$B$114,0)),"")</f>
        <v>erhöht</v>
      </c>
    </row>
    <row r="123" customFormat="false" ht="15" hidden="false" customHeight="false" outlineLevel="0" collapsed="false">
      <c r="A123" s="0" t="str">
        <f aca="false">IFERROR(INDEX(Positionen!$F$3:$F$74,MATCH(LARGE(Berechnung!$B$43:$B$114,5),Berechnung!$B$43:$B$114,0)),"")</f>
        <v>M365 Copilot und Copilot Studio</v>
      </c>
      <c r="B123" s="32" t="n">
        <f aca="false">IFERROR(INDEX(Positionen!$M$3:$M$74,MATCH(LARGE(Berechnung!$B$43:$B$114,5),Berechnung!$B$43:$B$114,0)),"")</f>
        <v>-225000</v>
      </c>
      <c r="C123" s="32" t="n">
        <f aca="false">IFERROR(INDEX(Positionen!$K$3:$K$74,MATCH(LARGE(Berechnung!$B$43:$B$114,5),Berechnung!$B$43:$B$114,0)),"")</f>
        <v>450000</v>
      </c>
      <c r="D123" s="32" t="n">
        <f aca="false">IFERROR(INDEX(Positionen!$L$3:$L$74,MATCH(LARGE(Berechnung!$B$43:$B$114,5),Berechnung!$B$43:$B$114,0)),"")</f>
        <v>225000</v>
      </c>
      <c r="E123" s="0" t="str">
        <f aca="false">IFERROR(INDEX(Positionen!$A$3:$A$74,MATCH(LARGE(Berechnung!$B$43:$B$114,5),Berechnung!$B$43:$B$114,0)),"")</f>
        <v>DE206210</v>
      </c>
      <c r="F123" s="0" t="str">
        <f aca="false">IFERROR(INDEX(Positionen!$E$3:$E$74,MATCH(LARGE(Berechnung!$B$43:$B$114,5),Berechnung!$B$43:$B$114,0)),"")</f>
        <v>KI &amp; Copilot</v>
      </c>
      <c r="G123" s="0" t="str">
        <f aca="false">IFERROR(INDEX(Positionen!$O$3:$O$74,MATCH(LARGE(Berechnung!$B$43:$B$114,5),Berechnung!$B$43:$B$114,0)),"")</f>
        <v>reduziert</v>
      </c>
    </row>
    <row r="124" customFormat="false" ht="15" hidden="false" customHeight="false" outlineLevel="0" collapsed="false">
      <c r="A124" s="0" t="str">
        <f aca="false">IFERROR(INDEX(Positionen!$F$3:$F$74,MATCH(LARGE(Berechnung!$B$43:$B$114,6),Berechnung!$B$43:$B$114,0)),"")</f>
        <v>ServiceNow Plattform Maintenance</v>
      </c>
      <c r="B124" s="32" t="n">
        <f aca="false">IFERROR(INDEX(Positionen!$M$3:$M$74,MATCH(LARGE(Berechnung!$B$43:$B$114,6),Berechnung!$B$43:$B$114,0)),"")</f>
        <v>140000</v>
      </c>
      <c r="C124" s="32" t="n">
        <f aca="false">IFERROR(INDEX(Positionen!$K$3:$K$74,MATCH(LARGE(Berechnung!$B$43:$B$114,6),Berechnung!$B$43:$B$114,0)),"")</f>
        <v>0</v>
      </c>
      <c r="D124" s="32" t="n">
        <f aca="false">IFERROR(INDEX(Positionen!$L$3:$L$74,MATCH(LARGE(Berechnung!$B$43:$B$114,6),Berechnung!$B$43:$B$114,0)),"")</f>
        <v>140000</v>
      </c>
      <c r="E124" s="0" t="str">
        <f aca="false">IFERROR(INDEX(Positionen!$A$3:$A$74,MATCH(LARGE(Berechnung!$B$43:$B$114,6),Berechnung!$B$43:$B$114,0)),"")</f>
        <v>DE2060204</v>
      </c>
      <c r="F124" s="0" t="str">
        <f aca="false">IFERROR(INDEX(Positionen!$E$3:$E$74,MATCH(LARGE(Berechnung!$B$43:$B$114,6),Berechnung!$B$43:$B$114,0)),"")</f>
        <v>ITSM &amp; ServiceNow</v>
      </c>
      <c r="G124" s="0" t="str">
        <f aca="false">IFERROR(INDEX(Positionen!$O$3:$O$74,MATCH(LARGE(Berechnung!$B$43:$B$114,6),Berechnung!$B$43:$B$114,0)),"")</f>
        <v>neu</v>
      </c>
    </row>
    <row r="125" customFormat="false" ht="15" hidden="false" customHeight="false" outlineLevel="0" collapsed="false">
      <c r="A125" s="0" t="str">
        <f aca="false">IFERROR(INDEX(Positionen!$F$3:$F$74,MATCH(LARGE(Berechnung!$B$43:$B$114,7),Berechnung!$B$43:$B$114,0)),"")</f>
        <v>ServiceNow Plattform Managed Service Operation</v>
      </c>
      <c r="B125" s="32" t="n">
        <f aca="false">IFERROR(INDEX(Positionen!$M$3:$M$74,MATCH(LARGE(Berechnung!$B$43:$B$114,7),Berechnung!$B$43:$B$114,0)),"")</f>
        <v>120000</v>
      </c>
      <c r="C125" s="32" t="n">
        <f aca="false">IFERROR(INDEX(Positionen!$K$3:$K$74,MATCH(LARGE(Berechnung!$B$43:$B$114,7),Berechnung!$B$43:$B$114,0)),"")</f>
        <v>0</v>
      </c>
      <c r="D125" s="32" t="n">
        <f aca="false">IFERROR(INDEX(Positionen!$L$3:$L$74,MATCH(LARGE(Berechnung!$B$43:$B$114,7),Berechnung!$B$43:$B$114,0)),"")</f>
        <v>120000</v>
      </c>
      <c r="E125" s="0" t="str">
        <f aca="false">IFERROR(INDEX(Positionen!$A$3:$A$74,MATCH(LARGE(Berechnung!$B$43:$B$114,7),Berechnung!$B$43:$B$114,0)),"")</f>
        <v>DE2060204</v>
      </c>
      <c r="F125" s="0" t="str">
        <f aca="false">IFERROR(INDEX(Positionen!$E$3:$E$74,MATCH(LARGE(Berechnung!$B$43:$B$114,7),Berechnung!$B$43:$B$114,0)),"")</f>
        <v>ITSM &amp; ServiceNow</v>
      </c>
      <c r="G125" s="0" t="str">
        <f aca="false">IFERROR(INDEX(Positionen!$O$3:$O$74,MATCH(LARGE(Berechnung!$B$43:$B$114,7),Berechnung!$B$43:$B$114,0)),"")</f>
        <v>neu</v>
      </c>
    </row>
    <row r="126" customFormat="false" ht="15" hidden="false" customHeight="false" outlineLevel="0" collapsed="false">
      <c r="A126" s="0" t="str">
        <f aca="false">IFERROR(INDEX(Positionen!$F$3:$F$74,MATCH(LARGE(Berechnung!$B$43:$B$114,8),Berechnung!$B$43:$B$114,0)),"")</f>
        <v>L-EDV Client</v>
      </c>
      <c r="B126" s="32" t="n">
        <f aca="false">IFERROR(INDEX(Positionen!$M$3:$M$74,MATCH(LARGE(Berechnung!$B$43:$B$114,8),Berechnung!$B$43:$B$114,0)),"")</f>
        <v>100000</v>
      </c>
      <c r="C126" s="32" t="n">
        <f aca="false">IFERROR(INDEX(Positionen!$K$3:$K$74,MATCH(LARGE(Berechnung!$B$43:$B$114,8),Berechnung!$B$43:$B$114,0)),"")</f>
        <v>2900000</v>
      </c>
      <c r="D126" s="32" t="n">
        <f aca="false">IFERROR(INDEX(Positionen!$L$3:$L$74,MATCH(LARGE(Berechnung!$B$43:$B$114,8),Berechnung!$B$43:$B$114,0)),"")</f>
        <v>3000000</v>
      </c>
      <c r="E126" s="0" t="str">
        <f aca="false">IFERROR(INDEX(Positionen!$A$3:$A$74,MATCH(LARGE(Berechnung!$B$43:$B$114,8),Berechnung!$B$43:$B$114,0)),"")</f>
        <v>DE2060204</v>
      </c>
      <c r="F126" s="0" t="str">
        <f aca="false">IFERROR(INDEX(Positionen!$E$3:$E$74,MATCH(LARGE(Berechnung!$B$43:$B$114,8),Berechnung!$B$43:$B$114,0)),"")</f>
        <v>Client &amp; Endgeräte (L-EDV)</v>
      </c>
      <c r="G126" s="0" t="str">
        <f aca="false">IFERROR(INDEX(Positionen!$O$3:$O$74,MATCH(LARGE(Berechnung!$B$43:$B$114,8),Berechnung!$B$43:$B$114,0)),"")</f>
        <v>erhöht</v>
      </c>
    </row>
    <row r="127" customFormat="false" ht="15" hidden="false" customHeight="false" outlineLevel="0" collapsed="false">
      <c r="A127" s="0" t="str">
        <f aca="false">IFERROR(INDEX(Positionen!$F$3:$F$74,MATCH(LARGE(Berechnung!$B$43:$B$114,9),Berechnung!$B$43:$B$114,0)),"")</f>
        <v>ServiceNow SPM - Strategic Portfolio Management (D-020932)</v>
      </c>
      <c r="B127" s="32" t="n">
        <f aca="false">IFERROR(INDEX(Positionen!$M$3:$M$74,MATCH(LARGE(Berechnung!$B$43:$B$114,9),Berechnung!$B$43:$B$114,0)),"")</f>
        <v>90000</v>
      </c>
      <c r="C127" s="32" t="n">
        <f aca="false">IFERROR(INDEX(Positionen!$K$3:$K$74,MATCH(LARGE(Berechnung!$B$43:$B$114,9),Berechnung!$B$43:$B$114,0)),"")</f>
        <v>110000</v>
      </c>
      <c r="D127" s="32" t="n">
        <f aca="false">IFERROR(INDEX(Positionen!$L$3:$L$74,MATCH(LARGE(Berechnung!$B$43:$B$114,9),Berechnung!$B$43:$B$114,0)),"")</f>
        <v>200000</v>
      </c>
      <c r="E127" s="0" t="str">
        <f aca="false">IFERROR(INDEX(Positionen!$A$3:$A$74,MATCH(LARGE(Berechnung!$B$43:$B$114,9),Berechnung!$B$43:$B$114,0)),"")</f>
        <v>DE2060204</v>
      </c>
      <c r="F127" s="0" t="str">
        <f aca="false">IFERROR(INDEX(Positionen!$E$3:$E$74,MATCH(LARGE(Berechnung!$B$43:$B$114,9),Berechnung!$B$43:$B$114,0)),"")</f>
        <v>ITSM &amp; ServiceNow</v>
      </c>
      <c r="G127" s="0" t="str">
        <f aca="false">IFERROR(INDEX(Positionen!$O$3:$O$74,MATCH(LARGE(Berechnung!$B$43:$B$114,9),Berechnung!$B$43:$B$114,0)),"")</f>
        <v>erhöht</v>
      </c>
    </row>
    <row r="128" customFormat="false" ht="15" hidden="false" customHeight="false" outlineLevel="0" collapsed="false">
      <c r="A128" s="0" t="str">
        <f aca="false">IFERROR(INDEX(Positionen!$F$3:$F$74,MATCH(LARGE(Berechnung!$B$43:$B$114,10),Berechnung!$B$43:$B$114,0)),"")</f>
        <v>ServiceNow Modul Release Management (SAP)</v>
      </c>
      <c r="B128" s="32" t="n">
        <f aca="false">IFERROR(INDEX(Positionen!$M$3:$M$74,MATCH(LARGE(Berechnung!$B$43:$B$114,10),Berechnung!$B$43:$B$114,0)),"")</f>
        <v>-85000</v>
      </c>
      <c r="C128" s="32" t="n">
        <f aca="false">IFERROR(INDEX(Positionen!$K$3:$K$74,MATCH(LARGE(Berechnung!$B$43:$B$114,10),Berechnung!$B$43:$B$114,0)),"")</f>
        <v>85000</v>
      </c>
      <c r="D128" s="32" t="n">
        <f aca="false">IFERROR(INDEX(Positionen!$L$3:$L$74,MATCH(LARGE(Berechnung!$B$43:$B$114,10),Berechnung!$B$43:$B$114,0)),"")</f>
        <v>0</v>
      </c>
      <c r="E128" s="0" t="str">
        <f aca="false">IFERROR(INDEX(Positionen!$A$3:$A$74,MATCH(LARGE(Berechnung!$B$43:$B$114,10),Berechnung!$B$43:$B$114,0)),"")</f>
        <v>DE2060204</v>
      </c>
      <c r="F128" s="0" t="str">
        <f aca="false">IFERROR(INDEX(Positionen!$E$3:$E$74,MATCH(LARGE(Berechnung!$B$43:$B$114,10),Berechnung!$B$43:$B$114,0)),"")</f>
        <v>ITSM &amp; ServiceNow</v>
      </c>
      <c r="G128" s="0" t="str">
        <f aca="false">IFERROR(INDEX(Positionen!$O$3:$O$74,MATCH(LARGE(Berechnung!$B$43:$B$114,10),Berechnung!$B$43:$B$114,0)),"")</f>
        <v>entfallen</v>
      </c>
    </row>
    <row r="129" customFormat="false" ht="15" hidden="false" customHeight="false" outlineLevel="0" collapsed="false">
      <c r="A129" s="0" t="str">
        <f aca="false">IFERROR(INDEX(Positionen!$F$3:$F$74,MATCH(LARGE(Berechnung!$B$43:$B$114,11),Berechnung!$B$43:$B$114,0)),"")</f>
        <v>ITSM Development</v>
      </c>
      <c r="B129" s="32" t="n">
        <f aca="false">IFERROR(INDEX(Positionen!$M$3:$M$74,MATCH(LARGE(Berechnung!$B$43:$B$114,11),Berechnung!$B$43:$B$114,0)),"")</f>
        <v>-85000</v>
      </c>
      <c r="C129" s="32" t="n">
        <f aca="false">IFERROR(INDEX(Positionen!$K$3:$K$74,MATCH(LARGE(Berechnung!$B$43:$B$114,11),Berechnung!$B$43:$B$114,0)),"")</f>
        <v>85000</v>
      </c>
      <c r="D129" s="32" t="n">
        <f aca="false">IFERROR(INDEX(Positionen!$L$3:$L$74,MATCH(LARGE(Berechnung!$B$43:$B$114,11),Berechnung!$B$43:$B$114,0)),"")</f>
        <v>0</v>
      </c>
      <c r="E129" s="0" t="str">
        <f aca="false">IFERROR(INDEX(Positionen!$A$3:$A$74,MATCH(LARGE(Berechnung!$B$43:$B$114,11),Berechnung!$B$43:$B$114,0)),"")</f>
        <v>DE2060204</v>
      </c>
      <c r="F129" s="0" t="str">
        <f aca="false">IFERROR(INDEX(Positionen!$E$3:$E$74,MATCH(LARGE(Berechnung!$B$43:$B$114,11),Berechnung!$B$43:$B$114,0)),"")</f>
        <v>ITSM &amp; ServiceNow</v>
      </c>
      <c r="G129" s="0" t="str">
        <f aca="false">IFERROR(INDEX(Positionen!$O$3:$O$74,MATCH(LARGE(Berechnung!$B$43:$B$114,11),Berechnung!$B$43:$B$114,0)),"")</f>
        <v>entfallen</v>
      </c>
    </row>
    <row r="130" customFormat="false" ht="15" hidden="false" customHeight="false" outlineLevel="0" collapsed="false">
      <c r="A130" s="0" t="str">
        <f aca="false">IFERROR(INDEX(Positionen!$F$3:$F$74,MATCH(LARGE(Berechnung!$B$43:$B$114,12),Berechnung!$B$43:$B$114,0)),"")</f>
        <v>Webex FlexPlan - Suite</v>
      </c>
      <c r="B130" s="32" t="n">
        <f aca="false">IFERROR(INDEX(Positionen!$M$3:$M$74,MATCH(LARGE(Berechnung!$B$43:$B$114,12),Berechnung!$B$43:$B$114,0)),"")</f>
        <v>75000</v>
      </c>
      <c r="C130" s="32" t="n">
        <f aca="false">IFERROR(INDEX(Positionen!$K$3:$K$74,MATCH(LARGE(Berechnung!$B$43:$B$114,12),Berechnung!$B$43:$B$114,0)),"")</f>
        <v>0</v>
      </c>
      <c r="D130" s="32" t="n">
        <f aca="false">IFERROR(INDEX(Positionen!$L$3:$L$74,MATCH(LARGE(Berechnung!$B$43:$B$114,12),Berechnung!$B$43:$B$114,0)),"")</f>
        <v>75000</v>
      </c>
      <c r="E130" s="0" t="str">
        <f aca="false">IFERROR(INDEX(Positionen!$A$3:$A$74,MATCH(LARGE(Berechnung!$B$43:$B$114,12),Berechnung!$B$43:$B$114,0)),"")</f>
        <v>DE206210</v>
      </c>
      <c r="F130" s="0" t="str">
        <f aca="false">IFERROR(INDEX(Positionen!$E$3:$E$74,MATCH(LARGE(Berechnung!$B$43:$B$114,12),Berechnung!$B$43:$B$114,0)),"")</f>
        <v>Unified Communications &amp; Telefonie</v>
      </c>
      <c r="G130" s="0" t="str">
        <f aca="false">IFERROR(INDEX(Positionen!$O$3:$O$74,MATCH(LARGE(Berechnung!$B$43:$B$114,12),Berechnung!$B$43:$B$114,0)),"")</f>
        <v>neu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2026-08-25T14:41:31Z</dcterms:created>
  <dc:creator>openpyxl</dc:creator>
  <dc:description/>
  <dc:language>en-US</dc:language>
  <cp:lastModifiedBy/>
  <dcterms:modified xsi:type="dcterms:W3CDTF">2026-08-25T14:41:34Z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