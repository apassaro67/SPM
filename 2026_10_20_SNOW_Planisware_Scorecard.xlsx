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leitung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Konsens (Team)" sheetId="3" state="visible" r:id="rId3"/>
    <sheet xmlns:r="http://schemas.openxmlformats.org/officeDocument/2006/relationships" name="Ergebn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Calibri"/>
      <b val="1"/>
      <color rgb="00F07F12"/>
      <sz val="20"/>
    </font>
    <font>
      <name val="Calibri"/>
      <i val="1"/>
      <color rgb="001F2937"/>
      <sz val="13"/>
    </font>
    <font>
      <name val="Calibri"/>
      <b val="1"/>
      <color rgb="002C3E50"/>
      <sz val="14"/>
    </font>
    <font>
      <name val="Calibri"/>
      <color rgb="001F2937"/>
      <sz val="11"/>
    </font>
    <font>
      <name val="Calibri"/>
      <b val="1"/>
      <color rgb="00F07F12"/>
      <sz val="14"/>
    </font>
    <font>
      <name val="Calibri"/>
      <b val="1"/>
      <color rgb="001F2937"/>
      <sz val="11"/>
    </font>
    <font>
      <name val="Calibri"/>
      <b val="1"/>
      <color rgb="00FFFFFF"/>
      <sz val="12"/>
    </font>
    <font>
      <name val="Calibri"/>
      <b val="1"/>
      <color rgb="00F07F12"/>
      <sz val="18"/>
    </font>
    <font>
      <name val="Calibri"/>
      <i val="1"/>
      <color rgb="004B5563"/>
      <sz val="10"/>
    </font>
    <font>
      <name val="Calibri"/>
      <b val="1"/>
      <color rgb="00FFFFFF"/>
      <sz val="11"/>
    </font>
    <font>
      <name val="Calibri"/>
      <b val="1"/>
      <color rgb="002C3E50"/>
      <sz val="12"/>
    </font>
    <font>
      <name val="Calibri"/>
      <color rgb="001F2937"/>
      <sz val="10.5"/>
    </font>
    <font>
      <name val="Calibri"/>
      <b val="1"/>
      <color rgb="002C3E50"/>
      <sz val="11"/>
    </font>
    <font>
      <name val="Calibri"/>
      <color rgb="006B7280"/>
      <sz val="10"/>
    </font>
    <font>
      <name val="Calibri"/>
      <b val="1"/>
      <color rgb="00F07F12"/>
      <sz val="16"/>
    </font>
    <font>
      <name val="Calibri"/>
      <i val="1"/>
      <color rgb="006B7280"/>
      <sz val="11"/>
    </font>
    <font>
      <name val="Calibri"/>
      <b val="1"/>
      <color rgb="001F2937"/>
      <sz val="12"/>
    </font>
    <font>
      <name val="Calibri"/>
      <b val="1"/>
      <color rgb="002C3E50"/>
      <sz val="13"/>
    </font>
  </fonts>
  <fills count="9">
    <fill>
      <patternFill/>
    </fill>
    <fill>
      <patternFill patternType="gray125"/>
    </fill>
    <fill>
      <patternFill patternType="solid">
        <fgColor rgb="00285AB8"/>
      </patternFill>
    </fill>
    <fill>
      <patternFill patternType="solid">
        <fgColor rgb="00F07F12"/>
      </patternFill>
    </fill>
    <fill>
      <patternFill patternType="solid">
        <fgColor rgb="002C3E50"/>
      </patternFill>
    </fill>
    <fill>
      <patternFill patternType="solid">
        <fgColor rgb="000E8A63"/>
      </patternFill>
    </fill>
    <fill>
      <patternFill patternType="solid">
        <fgColor rgb="00E5E8EE"/>
      </patternFill>
    </fill>
    <fill>
      <patternFill patternType="solid">
        <fgColor rgb="00F2F4F7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4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164" fontId="13" fillId="6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2" fontId="1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12" fillId="8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3" fillId="7" borderId="1" pivotButton="0" quotePrefix="0" xfId="0"/>
    <xf numFmtId="164" fontId="0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2" fontId="7" fillId="3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pivotButton="0" quotePrefix="0" xfId="0"/>
    <xf numFmtId="0" fontId="6" fillId="7" borderId="1" pivotButton="0" quotePrefix="0" xfId="0"/>
    <xf numFmtId="2" fontId="17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8" fillId="0" borderId="0" pivotButton="0" quotePrefix="0" xfId="0"/>
  </cellXfs>
  <cellStyles count="1">
    <cellStyle name="Normal" xfId="0" builtinId="0" hidden="0"/>
  </cellStyles>
  <dxfs count="3">
    <dxf>
      <font>
        <name val="Calibri"/>
        <b val="1"/>
        <color rgb="00B91C1C"/>
        <sz val="11"/>
      </font>
      <fill>
        <patternFill patternType="solid">
          <fgColor rgb="00F8D7DA"/>
        </patternFill>
      </fill>
    </dxf>
    <dxf>
      <font>
        <name val="Calibri"/>
        <b val="1"/>
        <color rgb="008A6300"/>
        <sz val="11"/>
      </font>
      <fill>
        <patternFill patternType="solid">
          <fgColor rgb="00FFF3C4"/>
        </patternFill>
      </fill>
    </dxf>
    <dxf>
      <font>
        <name val="Calibri"/>
        <b val="1"/>
        <color rgb="002E7D32"/>
        <sz val="11"/>
      </font>
      <fill>
        <patternFill patternType="solid">
          <fgColor rgb="00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80" customWidth="1" min="4" max="4"/>
  </cols>
  <sheetData>
    <row r="2" ht="22" customHeight="1">
      <c r="B2" s="1" t="inlineStr">
        <is>
          <t>Bewertungs-Scorecard  ·  SNOW SPM vs. Planisware-Kombinationen</t>
        </is>
      </c>
    </row>
    <row r="3" ht="22" customHeight="1">
      <c r="B3" s="2" t="inlineStr">
        <is>
          <t>Team-Evaluierung der vier PPM-Plattform-Szenarien</t>
        </is>
      </c>
    </row>
    <row r="4" ht="22" customHeight="1"/>
    <row r="5" ht="22" customHeight="1">
      <c r="B5" s="3" t="inlineStr">
        <is>
          <t>Vorgehen</t>
        </is>
      </c>
    </row>
    <row r="6" ht="22" customHeight="1">
      <c r="B6" s="4" t="inlineStr">
        <is>
          <t>1.  Sheet »Scorecard« öffnen. Jeder Teilnehmer trägt die Scores 1–5 je Kriterium und Szenario ein.</t>
        </is>
      </c>
    </row>
    <row r="7" ht="22" customHeight="1">
      <c r="B7" s="4" t="inlineStr">
        <is>
          <t>2.  Gewichte je Dimension links unten anpassen (Summe = 100%). Kriterien-Gewichte innerhalb der Dimension in Spalte D.</t>
        </is>
      </c>
    </row>
    <row r="8" ht="22" customHeight="1">
      <c r="B8" s="4" t="inlineStr">
        <is>
          <t>3.  Die gewichteten Werte, Dimensions-Scores und der Gesamt-Score werden automatisch berechnet.</t>
        </is>
      </c>
    </row>
    <row r="9" ht="22" customHeight="1">
      <c r="B9" s="4" t="inlineStr">
        <is>
          <t>4.  Sheet »Konsens« für die Team-Konsens-Bewertung nutzen; individuelle Scores können in Kopien des Scorecard-Sheets gehalten werden.</t>
        </is>
      </c>
    </row>
    <row r="10" ht="22" customHeight="1">
      <c r="B10" s="4" t="inlineStr">
        <is>
          <t>5.  Sheet »Ergebnis« zeigt die Rangfolge und eine Sensitivitäts-Übersicht (Gewichte ±10%).</t>
        </is>
      </c>
    </row>
    <row r="11" ht="22" customHeight="1"/>
    <row r="12" ht="22" customHeight="1">
      <c r="B12" s="3" t="inlineStr">
        <is>
          <t>Score-Skala</t>
        </is>
      </c>
    </row>
    <row r="13" ht="22" customHeight="1">
      <c r="B13" s="5" t="inlineStr">
        <is>
          <t>1</t>
        </is>
      </c>
      <c r="C13" s="6" t="inlineStr">
        <is>
          <t>sehr schlecht</t>
        </is>
      </c>
      <c r="D13" s="4" t="inlineStr">
        <is>
          <t>Anforderung deutlich verfehlt, kritische Lücke</t>
        </is>
      </c>
    </row>
    <row r="14" ht="22" customHeight="1">
      <c r="B14" s="5" t="inlineStr">
        <is>
          <t>2</t>
        </is>
      </c>
      <c r="C14" s="6" t="inlineStr">
        <is>
          <t>schlecht</t>
        </is>
      </c>
      <c r="D14" s="4" t="inlineStr">
        <is>
          <t>Substanzielle Lücke, nur mit erheblichem Aufwand behebbar</t>
        </is>
      </c>
    </row>
    <row r="15" ht="22" customHeight="1">
      <c r="B15" s="5" t="inlineStr">
        <is>
          <t>3</t>
        </is>
      </c>
      <c r="C15" s="6" t="inlineStr">
        <is>
          <t>ok</t>
        </is>
      </c>
      <c r="D15" s="4" t="inlineStr">
        <is>
          <t>Anforderung im Grundsatz erfüllt, mit vertretbarem Aufwand</t>
        </is>
      </c>
    </row>
    <row r="16" ht="22" customHeight="1">
      <c r="B16" s="5" t="inlineStr">
        <is>
          <t>4</t>
        </is>
      </c>
      <c r="C16" s="6" t="inlineStr">
        <is>
          <t>gut</t>
        </is>
      </c>
      <c r="D16" s="4" t="inlineStr">
        <is>
          <t>Anforderung sehr gut erfüllt, marginale Lücken</t>
        </is>
      </c>
    </row>
    <row r="17" ht="22" customHeight="1">
      <c r="B17" s="5" t="inlineStr">
        <is>
          <t>5</t>
        </is>
      </c>
      <c r="C17" s="6" t="inlineStr">
        <is>
          <t>sehr gut</t>
        </is>
      </c>
      <c r="D17" s="4" t="inlineStr">
        <is>
          <t>Best-in-Class, vollständig erfüllt</t>
        </is>
      </c>
    </row>
    <row r="18" ht="22" customHeight="1"/>
    <row r="19" ht="22" customHeight="1"/>
    <row r="20" ht="22" customHeight="1">
      <c r="B20" s="3" t="inlineStr">
        <is>
          <t>Szenarien</t>
        </is>
      </c>
    </row>
    <row r="21" ht="22" customHeight="1">
      <c r="B21" s="7" t="inlineStr">
        <is>
          <t>SZ 1</t>
        </is>
      </c>
      <c r="C21" s="6" t="inlineStr">
        <is>
          <t>SNOW homogen</t>
        </is>
      </c>
      <c r="D21" s="4" t="inlineStr">
        <is>
          <t>ServiceNow SPM Pro für Strategy, Portfolio, Demand, Roadmap UND komplettes PM aller Fachbereiche</t>
        </is>
      </c>
    </row>
    <row r="22" ht="22" customHeight="1">
      <c r="B22" s="8" t="inlineStr">
        <is>
          <t>SZ 2a</t>
        </is>
      </c>
      <c r="C22" s="6" t="inlineStr">
        <is>
          <t>SNOW + PW nur PEP-Subset</t>
        </is>
      </c>
      <c r="D22" s="4" t="inlineStr">
        <is>
          <t>SNOW als Standard; Planisware nur für definierten PEP-Subset (Filterkriterien: Budget, Größe, Komplexität)</t>
        </is>
      </c>
    </row>
    <row r="23" ht="22" customHeight="1">
      <c r="B23" s="9" t="inlineStr">
        <is>
          <t>SZ 2</t>
        </is>
      </c>
      <c r="C23" s="6" t="inlineStr">
        <is>
          <t>SNOW + PW Entwicklung/Produktion</t>
        </is>
      </c>
      <c r="D23" s="4" t="inlineStr">
        <is>
          <t>SNOW für Strategy/Portfolio/Demand/Rest; Planisware für gesamtes PM in Entwicklung + Produktion</t>
        </is>
      </c>
    </row>
    <row r="24" ht="22" customHeight="1">
      <c r="B24" s="10" t="inlineStr">
        <is>
          <t>SZ 3</t>
        </is>
      </c>
      <c r="C24" s="6" t="inlineStr">
        <is>
          <t>SNOW + PW weltweit alle FB</t>
        </is>
      </c>
      <c r="D24" s="4" t="inlineStr">
        <is>
          <t>SNOW für Strategy/Portfolio/Demand; Planisware für PM in allen Fachbereichen weltweit</t>
        </is>
      </c>
    </row>
    <row r="25" ht="22" customHeight="1"/>
    <row r="26" ht="22" customHeight="1"/>
    <row r="27" ht="22" customHeight="1"/>
    <row r="28" ht="22" customHeight="1"/>
    <row r="29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6" customWidth="1" min="2" max="2"/>
    <col width="10" customWidth="1" min="3" max="3"/>
    <col width="10" customWidth="1" min="4" max="4"/>
    <col width="1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11" t="inlineStr">
        <is>
          <t>Balanced Scorecard  —  4 Szenarien</t>
        </is>
      </c>
    </row>
    <row r="2">
      <c r="A2" s="12" t="inlineStr">
        <is>
          <t>Dim.-Gewichte sind in Zeile ganz rechts editierbar. Kriterien-Gewichte innerhalb der Dimension in Spalte D.</t>
        </is>
      </c>
    </row>
    <row r="4" ht="34" customHeight="1">
      <c r="A4" s="13" t="inlineStr">
        <is>
          <t>Dimension</t>
        </is>
      </c>
      <c r="B4" s="13" t="inlineStr">
        <is>
          <t>Kriterium</t>
        </is>
      </c>
      <c r="C4" s="13" t="inlineStr">
        <is>
          <t>Dim-Gewicht %</t>
        </is>
      </c>
      <c r="D4" s="13" t="inlineStr">
        <is>
          <t>Krit-Gewicht %</t>
        </is>
      </c>
      <c r="E4" s="13" t="inlineStr">
        <is>
          <t>SZ 1 SNOW</t>
        </is>
      </c>
      <c r="F4" s="13" t="inlineStr">
        <is>
          <t>SZ 2a SNOW+PW
(PEP-Subset)</t>
        </is>
      </c>
      <c r="G4" s="13" t="inlineStr">
        <is>
          <t>SZ 2 SNOW+PW
(E&amp;P)</t>
        </is>
      </c>
      <c r="H4" s="13" t="inlineStr">
        <is>
          <t>SZ 3 SNOW+PW
(weltweit)</t>
        </is>
      </c>
      <c r="I4" s="13" t="inlineStr">
        <is>
          <t>Notiz / Begründung</t>
        </is>
      </c>
      <c r="J4" s="13" t="inlineStr">
        <is>
          <t>Gewichteter
Beitrag SZ1</t>
        </is>
      </c>
    </row>
    <row r="5">
      <c r="A5" s="14" t="inlineStr">
        <is>
          <t>Strategisch</t>
        </is>
      </c>
      <c r="B5" s="15" t="inlineStr">
        <is>
          <t>Fit zur Konzern-IT-Strategie (Plattform statt Silo)</t>
        </is>
      </c>
      <c r="C5" s="16" t="n">
        <v>0.2</v>
      </c>
      <c r="D5" s="17" t="n">
        <v>0.25</v>
      </c>
      <c r="E5" s="18" t="n">
        <v>5</v>
      </c>
      <c r="F5" s="18" t="n">
        <v>4</v>
      </c>
      <c r="G5" s="18" t="n">
        <v>3</v>
      </c>
      <c r="H5" s="18" t="n">
        <v>2</v>
      </c>
      <c r="I5" s="19" t="inlineStr"/>
      <c r="J5" s="20">
        <f>D5*E5</f>
        <v/>
      </c>
    </row>
    <row r="6">
      <c r="A6" s="21" t="n"/>
      <c r="B6" s="22" t="inlineStr">
        <is>
          <t>Konsistenz Vendor-Landschaft (Reduktion Klumpenrisiko)</t>
        </is>
      </c>
      <c r="C6" s="21" t="n"/>
      <c r="D6" s="17" t="n">
        <v>0.15</v>
      </c>
      <c r="E6" s="18" t="n">
        <v>2</v>
      </c>
      <c r="F6" s="18" t="n">
        <v>3</v>
      </c>
      <c r="G6" s="18" t="n">
        <v>4</v>
      </c>
      <c r="H6" s="18" t="n">
        <v>4</v>
      </c>
      <c r="I6" s="19" t="inlineStr"/>
      <c r="J6" s="20">
        <f>D6*E6</f>
        <v/>
      </c>
    </row>
    <row r="7">
      <c r="A7" s="21" t="n"/>
      <c r="B7" s="15" t="inlineStr">
        <is>
          <t>Zukunftssicherheit / KI-Roadmap konsolidiert</t>
        </is>
      </c>
      <c r="C7" s="21" t="n"/>
      <c r="D7" s="17" t="n">
        <v>0.2</v>
      </c>
      <c r="E7" s="18" t="n">
        <v>5</v>
      </c>
      <c r="F7" s="18" t="n">
        <v>4</v>
      </c>
      <c r="G7" s="18" t="n">
        <v>3</v>
      </c>
      <c r="H7" s="18" t="n">
        <v>3</v>
      </c>
      <c r="I7" s="19" t="inlineStr"/>
      <c r="J7" s="20">
        <f>D7*E7</f>
        <v/>
      </c>
    </row>
    <row r="8">
      <c r="A8" s="21" t="n"/>
      <c r="B8" s="22" t="inlineStr">
        <is>
          <t>Business-IT-Alignment über Prozesskette Demand→Ergebnis</t>
        </is>
      </c>
      <c r="C8" s="21" t="n"/>
      <c r="D8" s="17" t="n">
        <v>0.25</v>
      </c>
      <c r="E8" s="18" t="n">
        <v>5</v>
      </c>
      <c r="F8" s="18" t="n">
        <v>4</v>
      </c>
      <c r="G8" s="18" t="n">
        <v>3</v>
      </c>
      <c r="H8" s="18" t="n">
        <v>2</v>
      </c>
      <c r="I8" s="19" t="inlineStr"/>
      <c r="J8" s="20">
        <f>D8*E8</f>
        <v/>
      </c>
    </row>
    <row r="9">
      <c r="A9" s="23" t="n"/>
      <c r="B9" s="15" t="inlineStr">
        <is>
          <t>Beschleunigung Digitalisierungs-Programm</t>
        </is>
      </c>
      <c r="C9" s="23" t="n"/>
      <c r="D9" s="17" t="n">
        <v>0.15</v>
      </c>
      <c r="E9" s="18" t="n">
        <v>5</v>
      </c>
      <c r="F9" s="18" t="n">
        <v>4</v>
      </c>
      <c r="G9" s="18" t="n">
        <v>3</v>
      </c>
      <c r="H9" s="18" t="n">
        <v>2</v>
      </c>
      <c r="I9" s="19" t="inlineStr"/>
      <c r="J9" s="20">
        <f>D9*E9</f>
        <v/>
      </c>
    </row>
    <row r="10">
      <c r="A10" s="14" t="inlineStr">
        <is>
          <t>Funktional</t>
        </is>
      </c>
      <c r="B10" s="15" t="inlineStr">
        <is>
          <t>Klassische Projektplanung (Gantt, WBS, Meilensteine)</t>
        </is>
      </c>
      <c r="C10" s="16" t="n">
        <v>0.2</v>
      </c>
      <c r="D10" s="17" t="n">
        <v>0.15</v>
      </c>
      <c r="E10" s="18" t="n">
        <v>4</v>
      </c>
      <c r="F10" s="18" t="n">
        <v>4</v>
      </c>
      <c r="G10" s="18" t="n">
        <v>5</v>
      </c>
      <c r="H10" s="18" t="n">
        <v>5</v>
      </c>
      <c r="I10" s="19" t="inlineStr"/>
      <c r="J10" s="20">
        <f>D10*E10</f>
        <v/>
      </c>
    </row>
    <row r="11">
      <c r="A11" s="21" t="n"/>
      <c r="B11" s="22" t="inlineStr">
        <is>
          <t>Ressourcen-Management (Skills, Capacity, Optimierung)</t>
        </is>
      </c>
      <c r="C11" s="21" t="n"/>
      <c r="D11" s="17" t="n">
        <v>0.15</v>
      </c>
      <c r="E11" s="18" t="n">
        <v>4</v>
      </c>
      <c r="F11" s="18" t="n">
        <v>4</v>
      </c>
      <c r="G11" s="18" t="n">
        <v>5</v>
      </c>
      <c r="H11" s="18" t="n">
        <v>5</v>
      </c>
      <c r="I11" s="19" t="inlineStr"/>
      <c r="J11" s="20">
        <f>D11*E11</f>
        <v/>
      </c>
    </row>
    <row r="12">
      <c r="A12" s="21" t="n"/>
      <c r="B12" s="15" t="inlineStr">
        <is>
          <t>Finanz-Management (Budget, Forecast, SAP-Obligo)</t>
        </is>
      </c>
      <c r="C12" s="21" t="n"/>
      <c r="D12" s="17" t="n">
        <v>0.15</v>
      </c>
      <c r="E12" s="18" t="n">
        <v>4</v>
      </c>
      <c r="F12" s="18" t="n">
        <v>4</v>
      </c>
      <c r="G12" s="18" t="n">
        <v>4</v>
      </c>
      <c r="H12" s="18" t="n">
        <v>4</v>
      </c>
      <c r="I12" s="19" t="inlineStr"/>
      <c r="J12" s="20">
        <f>D12*E12</f>
        <v/>
      </c>
    </row>
    <row r="13">
      <c r="A13" s="21" t="n"/>
      <c r="B13" s="22" t="inlineStr">
        <is>
          <t>PEP / Stage-Gate (App Engine bei SNOW)</t>
        </is>
      </c>
      <c r="C13" s="21" t="n"/>
      <c r="D13" s="17" t="n">
        <v>0.2</v>
      </c>
      <c r="E13" s="18" t="n">
        <v>4</v>
      </c>
      <c r="F13" s="18" t="n">
        <v>4</v>
      </c>
      <c r="G13" s="18" t="n">
        <v>5</v>
      </c>
      <c r="H13" s="18" t="n">
        <v>5</v>
      </c>
      <c r="I13" s="19" t="inlineStr"/>
      <c r="J13" s="20">
        <f>D13*E13</f>
        <v/>
      </c>
    </row>
    <row r="14">
      <c r="A14" s="21" t="n"/>
      <c r="B14" s="15" t="inlineStr">
        <is>
          <t>Massenänderungen in Projekten</t>
        </is>
      </c>
      <c r="C14" s="21" t="n"/>
      <c r="D14" s="17" t="n">
        <v>0.1</v>
      </c>
      <c r="E14" s="18" t="n">
        <v>3</v>
      </c>
      <c r="F14" s="18" t="n">
        <v>4</v>
      </c>
      <c r="G14" s="18" t="n">
        <v>5</v>
      </c>
      <c r="H14" s="18" t="n">
        <v>5</v>
      </c>
      <c r="I14" s="19" t="inlineStr"/>
      <c r="J14" s="20">
        <f>D14*E14</f>
        <v/>
      </c>
    </row>
    <row r="15">
      <c r="A15" s="21" t="n"/>
      <c r="B15" s="22" t="inlineStr">
        <is>
          <t>Reporting &amp; Live-Dashboards</t>
        </is>
      </c>
      <c r="C15" s="21" t="n"/>
      <c r="D15" s="17" t="n">
        <v>0.1</v>
      </c>
      <c r="E15" s="18" t="n">
        <v>5</v>
      </c>
      <c r="F15" s="18" t="n">
        <v>4</v>
      </c>
      <c r="G15" s="18" t="n">
        <v>4</v>
      </c>
      <c r="H15" s="18" t="n">
        <v>4</v>
      </c>
      <c r="I15" s="19" t="inlineStr"/>
      <c r="J15" s="20">
        <f>D15*E15</f>
        <v/>
      </c>
    </row>
    <row r="16">
      <c r="A16" s="23" t="n"/>
      <c r="B16" s="15" t="inlineStr">
        <is>
          <t>KI / GenAI im PM (Now Assist vs. Oscar)</t>
        </is>
      </c>
      <c r="C16" s="23" t="n"/>
      <c r="D16" s="17" t="n">
        <v>0.15</v>
      </c>
      <c r="E16" s="18" t="n">
        <v>5</v>
      </c>
      <c r="F16" s="18" t="n">
        <v>4</v>
      </c>
      <c r="G16" s="18" t="n">
        <v>4</v>
      </c>
      <c r="H16" s="18" t="n">
        <v>4</v>
      </c>
      <c r="I16" s="19" t="inlineStr"/>
      <c r="J16" s="20">
        <f>D16*E16</f>
        <v/>
      </c>
    </row>
    <row r="17">
      <c r="A17" s="14" t="inlineStr">
        <is>
          <t>Technisch</t>
        </is>
      </c>
      <c r="B17" s="15" t="inlineStr">
        <is>
          <t>Native Integration Demand → PM (ohne Schnittstelle)</t>
        </is>
      </c>
      <c r="C17" s="16" t="n">
        <v>0.15</v>
      </c>
      <c r="D17" s="17" t="n">
        <v>0.3</v>
      </c>
      <c r="E17" s="18" t="n">
        <v>5</v>
      </c>
      <c r="F17" s="18" t="n">
        <v>4</v>
      </c>
      <c r="G17" s="18" t="n">
        <v>3</v>
      </c>
      <c r="H17" s="18" t="n">
        <v>3</v>
      </c>
      <c r="I17" s="19" t="inlineStr"/>
      <c r="J17" s="20">
        <f>D17*E17</f>
        <v/>
      </c>
    </row>
    <row r="18">
      <c r="A18" s="21" t="n"/>
      <c r="B18" s="22" t="inlineStr">
        <is>
          <t>Anbindung an ITSM / HR-SD / GRC (Plattform-Nutzen)</t>
        </is>
      </c>
      <c r="C18" s="21" t="n"/>
      <c r="D18" s="17" t="n">
        <v>0.2</v>
      </c>
      <c r="E18" s="18" t="n">
        <v>5</v>
      </c>
      <c r="F18" s="18" t="n">
        <v>4</v>
      </c>
      <c r="G18" s="18" t="n">
        <v>3</v>
      </c>
      <c r="H18" s="18" t="n">
        <v>3</v>
      </c>
      <c r="I18" s="19" t="inlineStr"/>
      <c r="J18" s="20">
        <f>D18*E18</f>
        <v/>
      </c>
    </row>
    <row r="19">
      <c r="A19" s="21" t="n"/>
      <c r="B19" s="15" t="inlineStr">
        <is>
          <t>Extensibility / Low-Code (App Engine)</t>
        </is>
      </c>
      <c r="C19" s="21" t="n"/>
      <c r="D19" s="17" t="n">
        <v>0.2</v>
      </c>
      <c r="E19" s="18" t="n">
        <v>5</v>
      </c>
      <c r="F19" s="18" t="n">
        <v>4</v>
      </c>
      <c r="G19" s="18" t="n">
        <v>4</v>
      </c>
      <c r="H19" s="18" t="n">
        <v>4</v>
      </c>
      <c r="I19" s="19" t="inlineStr"/>
      <c r="J19" s="20">
        <f>D19*E19</f>
        <v/>
      </c>
    </row>
    <row r="20">
      <c r="A20" s="21" t="n"/>
      <c r="B20" s="22" t="inlineStr">
        <is>
          <t>Schnittstellen-Aufwand SNOW ↔ PW</t>
        </is>
      </c>
      <c r="C20" s="21" t="n"/>
      <c r="D20" s="17" t="n">
        <v>0.15</v>
      </c>
      <c r="E20" s="18" t="n">
        <v>5</v>
      </c>
      <c r="F20" s="18" t="n">
        <v>3</v>
      </c>
      <c r="G20" s="18" t="n">
        <v>2</v>
      </c>
      <c r="H20" s="18" t="n">
        <v>2</v>
      </c>
      <c r="I20" s="19" t="inlineStr"/>
      <c r="J20" s="20">
        <f>D20*E20</f>
        <v/>
      </c>
    </row>
    <row r="21">
      <c r="A21" s="23" t="n"/>
      <c r="B21" s="15" t="inlineStr">
        <is>
          <t>Datenhaltung, Master-Data, Konsistenz</t>
        </is>
      </c>
      <c r="C21" s="23" t="n"/>
      <c r="D21" s="17" t="n">
        <v>0.15</v>
      </c>
      <c r="E21" s="18" t="n">
        <v>5</v>
      </c>
      <c r="F21" s="18" t="n">
        <v>4</v>
      </c>
      <c r="G21" s="18" t="n">
        <v>3</v>
      </c>
      <c r="H21" s="18" t="n">
        <v>3</v>
      </c>
      <c r="I21" s="19" t="inlineStr"/>
      <c r="J21" s="20">
        <f>D21*E21</f>
        <v/>
      </c>
    </row>
    <row r="22">
      <c r="A22" s="14" t="inlineStr">
        <is>
          <t>Wirtschaftlich</t>
        </is>
      </c>
      <c r="B22" s="15" t="inlineStr">
        <is>
          <t>Lizenzkosten 5J (Delta zu Basis)</t>
        </is>
      </c>
      <c r="C22" s="16" t="n">
        <v>0.2</v>
      </c>
      <c r="D22" s="17" t="n">
        <v>0.25</v>
      </c>
      <c r="E22" s="18" t="n">
        <v>5</v>
      </c>
      <c r="F22" s="18" t="n">
        <v>4</v>
      </c>
      <c r="G22" s="18" t="n">
        <v>2</v>
      </c>
      <c r="H22" s="18" t="n">
        <v>1</v>
      </c>
      <c r="I22" s="19" t="inlineStr"/>
      <c r="J22" s="20">
        <f>D22*E22</f>
        <v/>
      </c>
    </row>
    <row r="23">
      <c r="A23" s="21" t="n"/>
      <c r="B23" s="22" t="inlineStr">
        <is>
          <t>Implementierungskosten (einmalig)</t>
        </is>
      </c>
      <c r="C23" s="21" t="n"/>
      <c r="D23" s="17" t="n">
        <v>0.2</v>
      </c>
      <c r="E23" s="18" t="n">
        <v>5</v>
      </c>
      <c r="F23" s="18" t="n">
        <v>4</v>
      </c>
      <c r="G23" s="18" t="n">
        <v>3</v>
      </c>
      <c r="H23" s="18" t="n">
        <v>2</v>
      </c>
      <c r="I23" s="19" t="inlineStr"/>
      <c r="J23" s="20">
        <f>D23*E23</f>
        <v/>
      </c>
    </row>
    <row r="24">
      <c r="A24" s="21" t="n"/>
      <c r="B24" s="15" t="inlineStr">
        <is>
          <t>Betriebskosten p.a. (Team, Support, Wartung)</t>
        </is>
      </c>
      <c r="C24" s="21" t="n"/>
      <c r="D24" s="17" t="n">
        <v>0.2</v>
      </c>
      <c r="E24" s="18" t="n">
        <v>5</v>
      </c>
      <c r="F24" s="18" t="n">
        <v>4</v>
      </c>
      <c r="G24" s="18" t="n">
        <v>3</v>
      </c>
      <c r="H24" s="18" t="n">
        <v>2</v>
      </c>
      <c r="I24" s="19" t="inlineStr"/>
      <c r="J24" s="20">
        <f>D24*E24</f>
        <v/>
      </c>
    </row>
    <row r="25">
      <c r="A25" s="21" t="n"/>
      <c r="B25" s="22" t="inlineStr">
        <is>
          <t>TCO 5J (gesamt, gewichtet)</t>
        </is>
      </c>
      <c r="C25" s="21" t="n"/>
      <c r="D25" s="17" t="n">
        <v>0.25</v>
      </c>
      <c r="E25" s="18" t="n">
        <v>5</v>
      </c>
      <c r="F25" s="18" t="n">
        <v>4</v>
      </c>
      <c r="G25" s="18" t="n">
        <v>2</v>
      </c>
      <c r="H25" s="18" t="n">
        <v>1</v>
      </c>
      <c r="I25" s="19" t="inlineStr"/>
      <c r="J25" s="20">
        <f>D25*E25</f>
        <v/>
      </c>
    </row>
    <row r="26">
      <c r="A26" s="23" t="n"/>
      <c r="B26" s="15" t="inlineStr">
        <is>
          <t>Cost of Change / Migrations-Aufwand</t>
        </is>
      </c>
      <c r="C26" s="23" t="n"/>
      <c r="D26" s="17" t="n">
        <v>0.1</v>
      </c>
      <c r="E26" s="18" t="n">
        <v>4</v>
      </c>
      <c r="F26" s="18" t="n">
        <v>4</v>
      </c>
      <c r="G26" s="18" t="n">
        <v>3</v>
      </c>
      <c r="H26" s="18" t="n">
        <v>2</v>
      </c>
      <c r="I26" s="19" t="inlineStr"/>
      <c r="J26" s="20">
        <f>D26*E26</f>
        <v/>
      </c>
    </row>
    <row r="27">
      <c r="A27" s="14" t="inlineStr">
        <is>
          <t>Organisatorisch</t>
        </is>
      </c>
      <c r="B27" s="15" t="inlineStr">
        <is>
          <t>Nutzbarkeit bestehendes SNOW-Team (Skills im Haus)</t>
        </is>
      </c>
      <c r="C27" s="16" t="n">
        <v>0.15</v>
      </c>
      <c r="D27" s="17" t="n">
        <v>0.25</v>
      </c>
      <c r="E27" s="18" t="n">
        <v>5</v>
      </c>
      <c r="F27" s="18" t="n">
        <v>4</v>
      </c>
      <c r="G27" s="18" t="n">
        <v>3</v>
      </c>
      <c r="H27" s="18" t="n">
        <v>2</v>
      </c>
      <c r="I27" s="19" t="inlineStr"/>
      <c r="J27" s="20">
        <f>D27*E27</f>
        <v/>
      </c>
    </row>
    <row r="28">
      <c r="A28" s="21" t="n"/>
      <c r="B28" s="22" t="inlineStr">
        <is>
          <t>Change-Aufwand für Anwender (neuer Vendor, neue UI)</t>
        </is>
      </c>
      <c r="C28" s="21" t="n"/>
      <c r="D28" s="17" t="n">
        <v>0.25</v>
      </c>
      <c r="E28" s="18" t="n">
        <v>5</v>
      </c>
      <c r="F28" s="18" t="n">
        <v>4</v>
      </c>
      <c r="G28" s="18" t="n">
        <v>3</v>
      </c>
      <c r="H28" s="18" t="n">
        <v>2</v>
      </c>
      <c r="I28" s="19" t="inlineStr"/>
      <c r="J28" s="20">
        <f>D28*E28</f>
        <v/>
      </c>
    </row>
    <row r="29">
      <c r="A29" s="21" t="n"/>
      <c r="B29" s="15" t="inlineStr">
        <is>
          <t>Trainings-Aufwand (Anzahl Anwender × neue Tools)</t>
        </is>
      </c>
      <c r="C29" s="21" t="n"/>
      <c r="D29" s="17" t="n">
        <v>0.15</v>
      </c>
      <c r="E29" s="18" t="n">
        <v>5</v>
      </c>
      <c r="F29" s="18" t="n">
        <v>4</v>
      </c>
      <c r="G29" s="18" t="n">
        <v>3</v>
      </c>
      <c r="H29" s="18" t="n">
        <v>2</v>
      </c>
      <c r="I29" s="19" t="inlineStr"/>
      <c r="J29" s="20">
        <f>D29*E29</f>
        <v/>
      </c>
    </row>
    <row r="30">
      <c r="A30" s="21" t="n"/>
      <c r="B30" s="22" t="inlineStr">
        <is>
          <t>Vendor-Management-Komplexität</t>
        </is>
      </c>
      <c r="C30" s="21" t="n"/>
      <c r="D30" s="17" t="n">
        <v>0.15</v>
      </c>
      <c r="E30" s="18" t="n">
        <v>5</v>
      </c>
      <c r="F30" s="18" t="n">
        <v>4</v>
      </c>
      <c r="G30" s="18" t="n">
        <v>3</v>
      </c>
      <c r="H30" s="18" t="n">
        <v>2</v>
      </c>
      <c r="I30" s="19" t="inlineStr"/>
      <c r="J30" s="20">
        <f>D30*E30</f>
        <v/>
      </c>
    </row>
    <row r="31">
      <c r="A31" s="23" t="n"/>
      <c r="B31" s="15" t="inlineStr">
        <is>
          <t>Governance-Aufwand (Regeln, Übergaben)</t>
        </is>
      </c>
      <c r="C31" s="23" t="n"/>
      <c r="D31" s="17" t="n">
        <v>0.2</v>
      </c>
      <c r="E31" s="18" t="n">
        <v>5</v>
      </c>
      <c r="F31" s="18" t="n">
        <v>3</v>
      </c>
      <c r="G31" s="18" t="n">
        <v>3</v>
      </c>
      <c r="H31" s="18" t="n">
        <v>2</v>
      </c>
      <c r="I31" s="19" t="inlineStr"/>
      <c r="J31" s="20">
        <f>D31*E31</f>
        <v/>
      </c>
    </row>
    <row r="32">
      <c r="A32" s="14" t="inlineStr">
        <is>
          <t>Risiko/Zukunft</t>
        </is>
      </c>
      <c r="B32" s="15" t="inlineStr">
        <is>
          <t>Klumpenrisiko ein Vendor (SNOW)</t>
        </is>
      </c>
      <c r="C32" s="16" t="n">
        <v>0.1</v>
      </c>
      <c r="D32" s="17" t="n">
        <v>0.25</v>
      </c>
      <c r="E32" s="18" t="n">
        <v>2</v>
      </c>
      <c r="F32" s="18" t="n">
        <v>3</v>
      </c>
      <c r="G32" s="18" t="n">
        <v>4</v>
      </c>
      <c r="H32" s="18" t="n">
        <v>4</v>
      </c>
      <c r="I32" s="19" t="inlineStr"/>
      <c r="J32" s="20">
        <f>D32*E32</f>
        <v/>
      </c>
    </row>
    <row r="33">
      <c r="A33" s="21" t="n"/>
      <c r="B33" s="22" t="inlineStr">
        <is>
          <t>Klumpenrisiko zweiter Vendor (PW-Lock-in)</t>
        </is>
      </c>
      <c r="C33" s="21" t="n"/>
      <c r="D33" s="17" t="n">
        <v>0.2</v>
      </c>
      <c r="E33" s="18" t="n">
        <v>5</v>
      </c>
      <c r="F33" s="18" t="n">
        <v>4</v>
      </c>
      <c r="G33" s="18" t="n">
        <v>3</v>
      </c>
      <c r="H33" s="18" t="n">
        <v>2</v>
      </c>
      <c r="I33" s="19" t="inlineStr"/>
      <c r="J33" s="20">
        <f>D33*E33</f>
        <v/>
      </c>
    </row>
    <row r="34">
      <c r="A34" s="21" t="n"/>
      <c r="B34" s="15" t="inlineStr">
        <is>
          <t>Migrations-/Rollout-Risiko</t>
        </is>
      </c>
      <c r="C34" s="21" t="n"/>
      <c r="D34" s="17" t="n">
        <v>0.2</v>
      </c>
      <c r="E34" s="18" t="n">
        <v>4</v>
      </c>
      <c r="F34" s="18" t="n">
        <v>4</v>
      </c>
      <c r="G34" s="18" t="n">
        <v>3</v>
      </c>
      <c r="H34" s="18" t="n">
        <v>2</v>
      </c>
      <c r="I34" s="19" t="inlineStr"/>
      <c r="J34" s="20">
        <f>D34*E34</f>
        <v/>
      </c>
    </row>
    <row r="35">
      <c r="A35" s="21" t="n"/>
      <c r="B35" s="22" t="inlineStr">
        <is>
          <t>Skalierung bei künftigen Anforderungen</t>
        </is>
      </c>
      <c r="C35" s="21" t="n"/>
      <c r="D35" s="17" t="n">
        <v>0.15</v>
      </c>
      <c r="E35" s="18" t="n">
        <v>4</v>
      </c>
      <c r="F35" s="18" t="n">
        <v>4</v>
      </c>
      <c r="G35" s="18" t="n">
        <v>4</v>
      </c>
      <c r="H35" s="18" t="n">
        <v>4</v>
      </c>
      <c r="I35" s="19" t="inlineStr"/>
      <c r="J35" s="20">
        <f>D35*E35</f>
        <v/>
      </c>
    </row>
    <row r="36">
      <c r="A36" s="23" t="n"/>
      <c r="B36" s="15" t="inlineStr">
        <is>
          <t>Reversibilität der Entscheidung</t>
        </is>
      </c>
      <c r="C36" s="23" t="n"/>
      <c r="D36" s="17" t="n">
        <v>0.2</v>
      </c>
      <c r="E36" s="18" t="n">
        <v>4</v>
      </c>
      <c r="F36" s="18" t="n">
        <v>4</v>
      </c>
      <c r="G36" s="18" t="n">
        <v>3</v>
      </c>
      <c r="H36" s="18" t="n">
        <v>2</v>
      </c>
      <c r="I36" s="19" t="inlineStr"/>
      <c r="J36" s="20">
        <f>D36*E36</f>
        <v/>
      </c>
    </row>
    <row r="39">
      <c r="A39" s="3" t="inlineStr">
        <is>
          <t>Zusammenfassung je Dimension</t>
        </is>
      </c>
    </row>
    <row r="40">
      <c r="A40" s="13" t="inlineStr">
        <is>
          <t>Dimension</t>
        </is>
      </c>
      <c r="B40" s="13" t="inlineStr">
        <is>
          <t>Dim-Gewicht %</t>
        </is>
      </c>
      <c r="C40" s="13" t="inlineStr">
        <is>
          <t>SZ 1</t>
        </is>
      </c>
      <c r="D40" s="13" t="inlineStr">
        <is>
          <t>SZ 2a</t>
        </is>
      </c>
      <c r="E40" s="13" t="inlineStr">
        <is>
          <t>SZ 2</t>
        </is>
      </c>
      <c r="F40" s="13" t="inlineStr">
        <is>
          <t>SZ 3</t>
        </is>
      </c>
    </row>
    <row r="41">
      <c r="A41" s="24" t="inlineStr">
        <is>
          <t>Strategisch</t>
        </is>
      </c>
      <c r="B41" s="25">
        <f>C5</f>
        <v/>
      </c>
      <c r="C41" s="26">
        <f>SUMPRODUCT(D5:D9,E5:E9)/SUM(D5:D9)</f>
        <v/>
      </c>
      <c r="D41" s="26">
        <f>SUMPRODUCT(D5:D9,F5:F9)/SUM(D5:D9)</f>
        <v/>
      </c>
      <c r="E41" s="26">
        <f>SUMPRODUCT(D5:D9,G5:G9)/SUM(D5:D9)</f>
        <v/>
      </c>
      <c r="F41" s="26">
        <f>SUMPRODUCT(D5:D9,H5:H9)/SUM(D5:D9)</f>
        <v/>
      </c>
    </row>
    <row r="42">
      <c r="A42" s="24" t="inlineStr">
        <is>
          <t>Funktional</t>
        </is>
      </c>
      <c r="B42" s="25">
        <f>C10</f>
        <v/>
      </c>
      <c r="C42" s="26">
        <f>SUMPRODUCT(D10:D16,E10:E16)/SUM(D10:D16)</f>
        <v/>
      </c>
      <c r="D42" s="26">
        <f>SUMPRODUCT(D10:D16,F10:F16)/SUM(D10:D16)</f>
        <v/>
      </c>
      <c r="E42" s="26">
        <f>SUMPRODUCT(D10:D16,G10:G16)/SUM(D10:D16)</f>
        <v/>
      </c>
      <c r="F42" s="26">
        <f>SUMPRODUCT(D10:D16,H10:H16)/SUM(D10:D16)</f>
        <v/>
      </c>
    </row>
    <row r="43">
      <c r="A43" s="24" t="inlineStr">
        <is>
          <t>Technisch</t>
        </is>
      </c>
      <c r="B43" s="25">
        <f>C17</f>
        <v/>
      </c>
      <c r="C43" s="26">
        <f>SUMPRODUCT(D17:D21,E17:E21)/SUM(D17:D21)</f>
        <v/>
      </c>
      <c r="D43" s="26">
        <f>SUMPRODUCT(D17:D21,F17:F21)/SUM(D17:D21)</f>
        <v/>
      </c>
      <c r="E43" s="26">
        <f>SUMPRODUCT(D17:D21,G17:G21)/SUM(D17:D21)</f>
        <v/>
      </c>
      <c r="F43" s="26">
        <f>SUMPRODUCT(D17:D21,H17:H21)/SUM(D17:D21)</f>
        <v/>
      </c>
    </row>
    <row r="44">
      <c r="A44" s="24" t="inlineStr">
        <is>
          <t>Wirtschaftlich</t>
        </is>
      </c>
      <c r="B44" s="25">
        <f>C22</f>
        <v/>
      </c>
      <c r="C44" s="26">
        <f>SUMPRODUCT(D22:D26,E22:E26)/SUM(D22:D26)</f>
        <v/>
      </c>
      <c r="D44" s="26">
        <f>SUMPRODUCT(D22:D26,F22:F26)/SUM(D22:D26)</f>
        <v/>
      </c>
      <c r="E44" s="26">
        <f>SUMPRODUCT(D22:D26,G22:G26)/SUM(D22:D26)</f>
        <v/>
      </c>
      <c r="F44" s="26">
        <f>SUMPRODUCT(D22:D26,H22:H26)/SUM(D22:D26)</f>
        <v/>
      </c>
    </row>
    <row r="45">
      <c r="A45" s="24" t="inlineStr">
        <is>
          <t>Organisatorisch</t>
        </is>
      </c>
      <c r="B45" s="25">
        <f>C27</f>
        <v/>
      </c>
      <c r="C45" s="26">
        <f>SUMPRODUCT(D27:D31,E27:E31)/SUM(D27:D31)</f>
        <v/>
      </c>
      <c r="D45" s="26">
        <f>SUMPRODUCT(D27:D31,F27:F31)/SUM(D27:D31)</f>
        <v/>
      </c>
      <c r="E45" s="26">
        <f>SUMPRODUCT(D27:D31,G27:G31)/SUM(D27:D31)</f>
        <v/>
      </c>
      <c r="F45" s="26">
        <f>SUMPRODUCT(D27:D31,H27:H31)/SUM(D27:D31)</f>
        <v/>
      </c>
    </row>
    <row r="46">
      <c r="A46" s="24" t="inlineStr">
        <is>
          <t>Risiko/Zukunft</t>
        </is>
      </c>
      <c r="B46" s="25">
        <f>C32</f>
        <v/>
      </c>
      <c r="C46" s="26">
        <f>SUMPRODUCT(D32:D36,E32:E36)/SUM(D32:D36)</f>
        <v/>
      </c>
      <c r="D46" s="26">
        <f>SUMPRODUCT(D32:D36,F32:F36)/SUM(D32:D36)</f>
        <v/>
      </c>
      <c r="E46" s="26">
        <f>SUMPRODUCT(D32:D36,G32:G36)/SUM(D32:D36)</f>
        <v/>
      </c>
      <c r="F46" s="26">
        <f>SUMPRODUCT(D32:D36,H32:H36)/SUM(D32:D36)</f>
        <v/>
      </c>
    </row>
    <row r="47">
      <c r="A47" s="27" t="inlineStr">
        <is>
          <t>GESAMT (gewichtet)</t>
        </is>
      </c>
      <c r="B47" s="28">
        <f>SUM(B41:B46)</f>
        <v/>
      </c>
      <c r="C47" s="29">
        <f>SUMPRODUCT(B41:B46,C41:C46)/SUM(B41:B46)</f>
        <v/>
      </c>
      <c r="D47" s="29">
        <f>SUMPRODUCT(B41:B46,D41:D46)/SUM(B41:B46)</f>
        <v/>
      </c>
      <c r="E47" s="29">
        <f>SUMPRODUCT(B41:B46,E41:E46)/SUM(B41:B46)</f>
        <v/>
      </c>
      <c r="F47" s="29">
        <f>SUMPRODUCT(B41:B46,F41:F46)/SUM(B41:B46)</f>
        <v/>
      </c>
    </row>
    <row r="48">
      <c r="A48" s="30" t="inlineStr">
        <is>
          <t>Rang</t>
        </is>
      </c>
      <c r="B48" s="19" t="inlineStr"/>
      <c r="C48" s="14">
        <f>RANK(C47,$C$47:$F$47)</f>
        <v/>
      </c>
      <c r="D48" s="14">
        <f>RANK(D47,$C$47:$F$47)</f>
        <v/>
      </c>
      <c r="E48" s="14">
        <f>RANK(E47,$C$47:$F$47)</f>
        <v/>
      </c>
      <c r="F48" s="14">
        <f>RANK(F47,$C$47:$F$47)</f>
        <v/>
      </c>
    </row>
  </sheetData>
  <mergeCells count="15">
    <mergeCell ref="A22:A26"/>
    <mergeCell ref="A17:A21"/>
    <mergeCell ref="A1:J1"/>
    <mergeCell ref="C22:C26"/>
    <mergeCell ref="A5:A9"/>
    <mergeCell ref="A2:J2"/>
    <mergeCell ref="C17:C21"/>
    <mergeCell ref="A27:A31"/>
    <mergeCell ref="C32:C36"/>
    <mergeCell ref="A39:J39"/>
    <mergeCell ref="C10:C16"/>
    <mergeCell ref="A10:A16"/>
    <mergeCell ref="C5:C9"/>
    <mergeCell ref="A32:A36"/>
    <mergeCell ref="C27:C31"/>
  </mergeCells>
  <conditionalFormatting sqref="E5:H36">
    <cfRule type="cellIs" priority="1" operator="lessThan" dxfId="0">
      <formula>3</formula>
    </cfRule>
    <cfRule type="cellIs" priority="2" operator="between" dxfId="1">
      <formula>3</formula>
      <formula>3</formula>
    </cfRule>
    <cfRule type="cellIs" priority="3" operator="greaterThan" dxfId="2">
      <formula>3</formula>
    </cfRule>
  </conditionalFormatting>
  <conditionalFormatting sqref="C47:F47">
    <cfRule type="colorScale" priority="4">
      <colorScale>
        <cfvo type="min"/>
        <cfvo type="percentile" val="50"/>
        <cfvo type="max"/>
        <color rgb="00F8D7DA"/>
        <color rgb="00FFF3C4"/>
        <color rgb="00D4EDD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1" t="inlineStr">
        <is>
          <t>Konsens-Bewertung des Teams</t>
        </is>
      </c>
    </row>
    <row r="2">
      <c r="A2" s="32" t="inlineStr">
        <is>
          <t>Nach dem individuellen Scoring hier den gemeinsamen Konsens eintragen.</t>
        </is>
      </c>
    </row>
    <row r="4">
      <c r="A4" s="4" t="inlineStr">
        <is>
          <t>→  Vorschlag: Sheet »Scorecard« duplizieren, umbenennen (Konsens-Team), Scores aus Diskussion eintragen.</t>
        </is>
      </c>
    </row>
    <row r="6">
      <c r="A6" s="4" t="inlineStr">
        <is>
          <t>Alternativ: Excel-Menü »Blatt verschieben oder kopieren« → Kopie erstellen → Werte im neuen Sheet überschreiben.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1" t="inlineStr">
        <is>
          <t>Ergebnis-Übersicht</t>
        </is>
      </c>
    </row>
    <row r="2">
      <c r="A2" s="32" t="inlineStr">
        <is>
          <t>Zieht Werte aus Sheet »Scorecard«. Sensitivitäts-Zeilen zeigen ±10% Gewichts-Variation.</t>
        </is>
      </c>
    </row>
    <row r="4" ht="22" customHeight="1">
      <c r="A4" s="13" t="inlineStr">
        <is>
          <t>Szenario</t>
        </is>
      </c>
      <c r="B4" s="13" t="inlineStr">
        <is>
          <t>SZ 1</t>
        </is>
      </c>
      <c r="C4" s="13" t="inlineStr">
        <is>
          <t>SZ 2a</t>
        </is>
      </c>
      <c r="D4" s="13" t="inlineStr">
        <is>
          <t>SZ 2</t>
        </is>
      </c>
      <c r="E4" s="13" t="inlineStr">
        <is>
          <t>SZ 3</t>
        </is>
      </c>
      <c r="F4" s="13" t="inlineStr">
        <is>
          <t>Kommentar</t>
        </is>
      </c>
    </row>
    <row r="5" ht="22" customHeight="1">
      <c r="A5" s="33" t="inlineStr">
        <is>
          <t>Gesamt-Score (Basis-Gewichte)</t>
        </is>
      </c>
      <c r="B5" s="34">
        <f>Scorecard!C47</f>
        <v/>
      </c>
      <c r="C5" s="34">
        <f>Scorecard!D47</f>
        <v/>
      </c>
      <c r="D5" s="34">
        <f>Scorecard!E47</f>
        <v/>
      </c>
      <c r="E5" s="34">
        <f>Scorecard!F47</f>
        <v/>
      </c>
      <c r="F5" s="19" t="inlineStr">
        <is>
          <t>Konsens-Score aus Team-Bewertung</t>
        </is>
      </c>
    </row>
    <row r="6" ht="22" customHeight="1">
      <c r="A6" s="24" t="inlineStr">
        <is>
          <t>Rangfolge</t>
        </is>
      </c>
      <c r="B6" s="35">
        <f>RANK(B5,$B$5:$E$5)</f>
        <v/>
      </c>
      <c r="C6" s="35">
        <f>RANK(C5,$B$5:$E$5)</f>
        <v/>
      </c>
      <c r="D6" s="35">
        <f>RANK(D5,$B$5:$E$5)</f>
        <v/>
      </c>
      <c r="E6" s="35">
        <f>RANK(E5,$B$5:$E$5)</f>
        <v/>
      </c>
      <c r="F6" s="19" t="inlineStr">
        <is>
          <t>1 = bester Score</t>
        </is>
      </c>
    </row>
    <row r="7" ht="22" customHeight="1">
      <c r="A7" s="24" t="inlineStr">
        <is>
          <t>Kurz-Empfehlung</t>
        </is>
      </c>
      <c r="B7" s="18">
        <f>IF(B6=1,"Empfohlen",IF(B6=2,"Bedingt","Nicht empfohlen"))</f>
        <v/>
      </c>
      <c r="C7" s="18">
        <f>IF(C6=1,"Empfohlen",IF(C6=2,"Bedingt","Nicht empfohlen"))</f>
        <v/>
      </c>
      <c r="D7" s="18">
        <f>IF(D6=1,"Empfohlen",IF(D6=2,"Bedingt","Nicht empfohlen"))</f>
        <v/>
      </c>
      <c r="E7" s="18">
        <f>IF(E6=1,"Empfohlen",IF(E6=2,"Bedingt","Nicht empfohlen"))</f>
        <v/>
      </c>
    </row>
    <row r="8" ht="22" customHeight="1"/>
    <row r="9" ht="22" customHeight="1"/>
    <row r="10" ht="22" customHeight="1">
      <c r="A10" s="36" t="inlineStr">
        <is>
          <t>Sensitivität — Wenn eine Dimension +10% Gewicht erhält, wer gewinnt?</t>
        </is>
      </c>
    </row>
    <row r="11" ht="22" customHeight="1">
      <c r="A11" s="13" t="inlineStr">
        <is>
          <t>Dimension +10%</t>
        </is>
      </c>
      <c r="B11" s="13" t="inlineStr">
        <is>
          <t>SZ 1</t>
        </is>
      </c>
      <c r="C11" s="13" t="inlineStr">
        <is>
          <t>SZ 2a</t>
        </is>
      </c>
      <c r="D11" s="13" t="inlineStr">
        <is>
          <t>SZ 2</t>
        </is>
      </c>
      <c r="E11" s="13" t="inlineStr">
        <is>
          <t>SZ 3</t>
        </is>
      </c>
      <c r="F11" s="13" t="inlineStr">
        <is>
          <t>Kommentar</t>
        </is>
      </c>
    </row>
    <row r="12" ht="22" customHeight="1">
      <c r="A12" s="33" t="inlineStr">
        <is>
          <t>Strategisch</t>
        </is>
      </c>
      <c r="B12" s="19" t="inlineStr"/>
      <c r="C12" s="19" t="inlineStr"/>
      <c r="D12" s="19" t="inlineStr"/>
      <c r="E12" s="19" t="inlineStr"/>
      <c r="F12" s="19" t="inlineStr">
        <is>
          <t>Nach Gewichts-Änderung im Sheet Scorecard hier Ergebnis notieren</t>
        </is>
      </c>
    </row>
    <row r="13" ht="22" customHeight="1">
      <c r="A13" s="33" t="inlineStr">
        <is>
          <t>Funktional</t>
        </is>
      </c>
      <c r="B13" s="19" t="inlineStr"/>
      <c r="C13" s="19" t="inlineStr"/>
      <c r="D13" s="19" t="inlineStr"/>
      <c r="E13" s="19" t="inlineStr"/>
      <c r="F13" s="19" t="inlineStr">
        <is>
          <t>Nach Gewichts-Änderung im Sheet Scorecard hier Ergebnis notieren</t>
        </is>
      </c>
    </row>
    <row r="14" ht="22" customHeight="1">
      <c r="A14" s="33" t="inlineStr">
        <is>
          <t>Technisch</t>
        </is>
      </c>
      <c r="B14" s="19" t="inlineStr"/>
      <c r="C14" s="19" t="inlineStr"/>
      <c r="D14" s="19" t="inlineStr"/>
      <c r="E14" s="19" t="inlineStr"/>
      <c r="F14" s="19" t="inlineStr">
        <is>
          <t>Nach Gewichts-Änderung im Sheet Scorecard hier Ergebnis notieren</t>
        </is>
      </c>
    </row>
    <row r="15" ht="22" customHeight="1">
      <c r="A15" s="33" t="inlineStr">
        <is>
          <t>Wirtschaftlich</t>
        </is>
      </c>
      <c r="B15" s="19" t="inlineStr"/>
      <c r="C15" s="19" t="inlineStr"/>
      <c r="D15" s="19" t="inlineStr"/>
      <c r="E15" s="19" t="inlineStr"/>
      <c r="F15" s="19" t="inlineStr">
        <is>
          <t>Nach Gewichts-Änderung im Sheet Scorecard hier Ergebnis notieren</t>
        </is>
      </c>
    </row>
    <row r="16" ht="22" customHeight="1">
      <c r="A16" s="33" t="inlineStr">
        <is>
          <t>Organisatorisch</t>
        </is>
      </c>
      <c r="B16" s="19" t="inlineStr"/>
      <c r="C16" s="19" t="inlineStr"/>
      <c r="D16" s="19" t="inlineStr"/>
      <c r="E16" s="19" t="inlineStr"/>
      <c r="F16" s="19" t="inlineStr">
        <is>
          <t>Nach Gewichts-Änderung im Sheet Scorecard hier Ergebnis notieren</t>
        </is>
      </c>
    </row>
    <row r="17" ht="22" customHeight="1">
      <c r="A17" s="33" t="inlineStr">
        <is>
          <t>Risiko/Zukunft</t>
        </is>
      </c>
      <c r="B17" s="19" t="inlineStr"/>
      <c r="C17" s="19" t="inlineStr"/>
      <c r="D17" s="19" t="inlineStr"/>
      <c r="E17" s="19" t="inlineStr"/>
      <c r="F17" s="19" t="inlineStr">
        <is>
          <t>Nach Gewichts-Änderung im Sheet Scorecard hier Ergebnis notieren</t>
        </is>
      </c>
    </row>
    <row r="18" ht="22" customHeight="1"/>
    <row r="19" ht="22" customHeight="1"/>
  </sheetData>
  <mergeCells count="1">
    <mergeCell ref="A10:F10"/>
  </mergeCells>
  <conditionalFormatting sqref="B5:E5">
    <cfRule type="colorScale" priority="1">
      <colorScale>
        <cfvo type="min"/>
        <cfvo type="percentile" val="50"/>
        <cfvo type="max"/>
        <color rgb="00F8D7DA"/>
        <color rgb="00FFF3C4"/>
        <color rgb="00D4EDDA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2026-08-20T10:50:32Z</dcterms:created>
  <dcterms:modified xmlns:dcterms="http://purl.org/dc/terms/" xmlns:xsi="http://www.w3.org/2001/XMLSchema-instance" xsi:type="dcterms:W3CDTF">2026-08-20T10:50:32Z</dcterms:modified>
</cp:coreProperties>
</file>