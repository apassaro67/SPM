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CO_Detail" sheetId="3" state="visible" r:id="rId3"/>
    <sheet xmlns:r="http://schemas.openxmlformats.org/officeDocument/2006/relationships" name="Konsolidierung_Tools" sheetId="4" state="visible" r:id="rId4"/>
    <sheet xmlns:r="http://schemas.openxmlformats.org/officeDocument/2006/relationships" name="Konsolidierung_Schnittstellen" sheetId="5" state="visible" r:id="rId5"/>
    <sheet xmlns:r="http://schemas.openxmlformats.org/officeDocument/2006/relationships" name="Support_Kosten" sheetId="6" state="visible" r:id="rId6"/>
    <sheet xmlns:r="http://schemas.openxmlformats.org/officeDocument/2006/relationships" name="Business_Value" sheetId="7" state="visible" r:id="rId7"/>
    <sheet xmlns:r="http://schemas.openxmlformats.org/officeDocument/2006/relationships" name="Prozess_Potentiale" sheetId="8" state="visible" r:id="rId8"/>
    <sheet xmlns:r="http://schemas.openxmlformats.org/officeDocument/2006/relationships" name="Szenarien" sheetId="9" state="visible" r:id="rId9"/>
    <sheet xmlns:r="http://schemas.openxmlformats.org/officeDocument/2006/relationships" name="SNOW_Vertragshistorie" sheetId="10" state="visible" r:id="rId10"/>
    <sheet xmlns:r="http://schemas.openxmlformats.org/officeDocument/2006/relationships" name="Risiken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Auswertu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07F12"/>
      <sz val="16"/>
    </font>
    <font>
      <b val="1"/>
      <sz val="12"/>
    </font>
    <font>
      <b val="1"/>
      <color rgb="00F07F12"/>
    </font>
    <font>
      <b val="1"/>
      <color rgb="00F07F12"/>
      <sz val="14"/>
    </font>
    <font>
      <name val="Calibri"/>
      <b val="1"/>
      <color rgb="00FFFFFF"/>
      <sz val="11"/>
    </font>
    <font>
      <name val="Calibri"/>
      <color rgb="001F2937"/>
      <sz val="10"/>
    </font>
    <font>
      <b val="1"/>
      <color rgb="00F07F12"/>
      <sz val="11"/>
    </font>
    <font>
      <name val="Calibri"/>
      <b val="1"/>
      <color rgb="001F2937"/>
      <sz val="10"/>
    </font>
    <font>
      <b val="1"/>
      <color rgb="00FFFFFF"/>
      <sz val="12"/>
    </font>
    <font>
      <b val="1"/>
    </font>
    <font>
      <b val="1"/>
      <color rgb="00F07F12"/>
      <sz val="16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6E5"/>
      </patternFill>
    </fill>
    <fill>
      <patternFill patternType="solid">
        <fgColor rgb="00EEF1F4"/>
      </patternFill>
    </fill>
    <fill>
      <patternFill patternType="solid">
        <fgColor rgb="002E7D32"/>
      </patternFill>
    </fill>
    <fill>
      <patternFill patternType="solid">
        <fgColor rgb="00F07F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right" vertical="center"/>
    </xf>
    <xf numFmtId="0" fontId="7" fillId="3" borderId="0" pivotButton="0" quotePrefix="0" xfId="0"/>
    <xf numFmtId="0" fontId="8" fillId="4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9" fillId="5" borderId="0" pivotButton="0" quotePrefix="0" xfId="0"/>
    <xf numFmtId="0" fontId="9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Business Case SEPM – Datenerhebung</t>
        </is>
      </c>
    </row>
    <row r="3" ht="40" customHeight="1">
      <c r="A3" s="2" t="inlineStr">
        <is>
          <t>Diese Arbeitsmappe dient der Erfassung der Zahlen für den Business Case. Alle mit oranger Hintergrundfarbe markierten Zellen sind Eingabefelder. Blaue/graue Zellen sind berechnet.</t>
        </is>
      </c>
    </row>
    <row r="5">
      <c r="A5" s="3" t="inlineStr">
        <is>
          <t>Reiter der Arbeitsmappe:</t>
        </is>
      </c>
    </row>
    <row r="6">
      <c r="A6" s="4" t="inlineStr">
        <is>
          <t>Assumptions</t>
        </is>
      </c>
      <c r="B6" s="5" t="inlineStr">
        <is>
          <t>Basis-Annahmen (FTE-Satz, WACC, Jahre)</t>
        </is>
      </c>
    </row>
    <row r="7">
      <c r="A7" s="4" t="inlineStr">
        <is>
          <t>TCO_Detail</t>
        </is>
      </c>
      <c r="B7" s="5" t="inlineStr">
        <is>
          <t>Einmalige + laufende Kosten SEPM, aufgeschlüsselt</t>
        </is>
      </c>
    </row>
    <row r="8">
      <c r="A8" s="4" t="inlineStr">
        <is>
          <t>Konsolidierung_Tools</t>
        </is>
      </c>
      <c r="B8" s="5" t="inlineStr">
        <is>
          <t>Ablöse-Ersparnis pro heutigem Tool (PIT, MSPO, …)</t>
        </is>
      </c>
    </row>
    <row r="9">
      <c r="A9" s="4" t="inlineStr">
        <is>
          <t>Konsolidierung_Schnittstellen</t>
        </is>
      </c>
      <c r="B9" s="5" t="inlineStr">
        <is>
          <t>Ersparnis durch Wegfall von APIs/Integrationen</t>
        </is>
      </c>
    </row>
    <row r="10">
      <c r="A10" s="4" t="inlineStr">
        <is>
          <t>Support_Kosten</t>
        </is>
      </c>
      <c r="B10" s="5" t="inlineStr">
        <is>
          <t>Interner + externer Support/Wartung, Weiterentwicklung</t>
        </is>
      </c>
    </row>
    <row r="11">
      <c r="A11" s="4" t="inlineStr">
        <is>
          <t>Business_Value</t>
        </is>
      </c>
      <c r="B11" s="5" t="inlineStr">
        <is>
          <t>Nutzen-Kategorien mit quantifiziertem Steady State</t>
        </is>
      </c>
    </row>
    <row r="12">
      <c r="A12" s="4" t="inlineStr">
        <is>
          <t>Prozess_Potentiale</t>
        </is>
      </c>
      <c r="B12" s="5" t="inlineStr">
        <is>
          <t>Flankierende Prozesse (Maßnahmen-Mgmt, APM, …)</t>
        </is>
      </c>
    </row>
    <row r="13">
      <c r="A13" s="4" t="inlineStr">
        <is>
          <t>Szenarien</t>
        </is>
      </c>
      <c r="B13" s="5" t="inlineStr">
        <is>
          <t>Szenario A / B / C – Vergleich</t>
        </is>
      </c>
    </row>
    <row r="14">
      <c r="A14" s="4" t="inlineStr">
        <is>
          <t>SNOW_Vertragshistorie</t>
        </is>
      </c>
      <c r="B14" s="5" t="inlineStr">
        <is>
          <t>Vertragshistorie 2014–heute, Preisentwicklung</t>
        </is>
      </c>
    </row>
    <row r="15">
      <c r="A15" s="4" t="inlineStr">
        <is>
          <t>Risiken</t>
        </is>
      </c>
      <c r="B15" s="5" t="inlineStr">
        <is>
          <t>Risiko-Register + Mitigationen</t>
        </is>
      </c>
    </row>
    <row r="16">
      <c r="A16" s="4" t="inlineStr">
        <is>
          <t>Sensitivity</t>
        </is>
      </c>
      <c r="B16" s="5" t="inlineStr">
        <is>
          <t>Best / Base / Worst Case</t>
        </is>
      </c>
    </row>
    <row r="17">
      <c r="A17" s="4" t="inlineStr">
        <is>
          <t>Auswertung</t>
        </is>
      </c>
      <c r="B17" s="5" t="inlineStr">
        <is>
          <t>Executive Summary (automatisch aus obigen Tabs)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</cols>
  <sheetData>
    <row r="1">
      <c r="A1" s="6" t="inlineStr">
        <is>
          <t>Basis-Annahmen</t>
        </is>
      </c>
    </row>
    <row r="3">
      <c r="A3" s="7" t="inlineStr">
        <is>
          <t>Parameter</t>
        </is>
      </c>
      <c r="B3" s="7" t="inlineStr">
        <is>
          <t>Wert</t>
        </is>
      </c>
      <c r="C3" s="7" t="inlineStr">
        <is>
          <t>Einheit</t>
        </is>
      </c>
    </row>
    <row r="4">
      <c r="A4" s="8" t="inlineStr">
        <is>
          <t>Betrachtungshorizont (Jahre)</t>
        </is>
      </c>
      <c r="B4" s="9" t="n">
        <v>5</v>
      </c>
      <c r="C4" s="8" t="inlineStr">
        <is>
          <t>Jahre</t>
        </is>
      </c>
    </row>
    <row r="5">
      <c r="A5" s="8" t="inlineStr">
        <is>
          <t>FTE-Satz (fully loaded)</t>
        </is>
      </c>
      <c r="B5" s="9" t="n">
        <v>130</v>
      </c>
      <c r="C5" s="8" t="inlineStr">
        <is>
          <t>k€ p.a.</t>
        </is>
      </c>
    </row>
    <row r="6">
      <c r="A6" s="8" t="inlineStr">
        <is>
          <t>WACC (Diskontrate)</t>
        </is>
      </c>
      <c r="B6" s="9" t="n">
        <v>0.06</v>
      </c>
      <c r="C6" s="8" t="inlineStr">
        <is>
          <t>%</t>
        </is>
      </c>
    </row>
    <row r="7">
      <c r="A7" s="8" t="inlineStr">
        <is>
          <t>Startjahr</t>
        </is>
      </c>
      <c r="B7" s="9" t="n">
        <v>2027</v>
      </c>
      <c r="C7" s="8" t="inlineStr">
        <is>
          <t>Jahr</t>
        </is>
      </c>
    </row>
    <row r="8">
      <c r="A8" s="8" t="inlineStr">
        <is>
          <t>Inflations-Annahme</t>
        </is>
      </c>
      <c r="B8" s="9" t="n">
        <v>0.02</v>
      </c>
      <c r="C8" s="8" t="inlineStr">
        <is>
          <t>%</t>
        </is>
      </c>
    </row>
    <row r="9">
      <c r="A9" s="8" t="inlineStr">
        <is>
          <t>Mengengerüst Named User (Start)</t>
        </is>
      </c>
      <c r="B9" s="9" t="n">
        <v>200</v>
      </c>
      <c r="C9" s="8" t="inlineStr">
        <is>
          <t>Anzahl</t>
        </is>
      </c>
    </row>
    <row r="10">
      <c r="A10" s="8" t="inlineStr">
        <is>
          <t>Mengengerüst Named User (Steady)</t>
        </is>
      </c>
      <c r="B10" s="9" t="n">
        <v>400</v>
      </c>
      <c r="C10" s="8" t="inlineStr">
        <is>
          <t>Anzahl</t>
        </is>
      </c>
    </row>
    <row r="11">
      <c r="A11" s="8" t="inlineStr">
        <is>
          <t>Preis pro Named User p.a.</t>
        </is>
      </c>
      <c r="B11" s="9" t="n">
        <v>2000</v>
      </c>
      <c r="C11" s="8" t="inlineStr">
        <is>
          <t>€</t>
        </is>
      </c>
    </row>
    <row r="12">
      <c r="A12" s="8" t="inlineStr">
        <is>
          <t>Externer Support Retainer p.a.</t>
        </is>
      </c>
      <c r="B12" s="9" t="n">
        <v>180</v>
      </c>
      <c r="C12" s="8" t="inlineStr">
        <is>
          <t>k€</t>
        </is>
      </c>
    </row>
    <row r="13">
      <c r="A13" s="8" t="inlineStr">
        <is>
          <t>Contingency (Puffer)</t>
        </is>
      </c>
      <c r="B13" s="9" t="n">
        <v>0.1</v>
      </c>
      <c r="C13" s="8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6" t="inlineStr">
        <is>
          <t>TCO-Detail 5 Jahre</t>
        </is>
      </c>
    </row>
    <row r="3">
      <c r="A3" s="7" t="inlineStr">
        <is>
          <t>Kostenposition</t>
        </is>
      </c>
      <c r="B3" s="7" t="inlineStr">
        <is>
          <t>Jahr 1</t>
        </is>
      </c>
      <c r="C3" s="7" t="inlineStr">
        <is>
          <t>Jahr 2</t>
        </is>
      </c>
      <c r="D3" s="7" t="inlineStr">
        <is>
          <t>Jahr 3</t>
        </is>
      </c>
      <c r="E3" s="7" t="inlineStr">
        <is>
          <t>Jahr 4</t>
        </is>
      </c>
      <c r="F3" s="7" t="inlineStr">
        <is>
          <t>Jahr 5</t>
        </is>
      </c>
      <c r="G3" s="7" t="inlineStr">
        <is>
          <t>Summe</t>
        </is>
      </c>
      <c r="H3" s="7" t="inlineStr">
        <is>
          <t>Kommentar</t>
        </is>
      </c>
    </row>
    <row r="4">
      <c r="A4" s="10" t="inlineStr">
        <is>
          <t>Einmalige Kosten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</row>
    <row r="5">
      <c r="A5" s="8" t="inlineStr">
        <is>
          <t>Implementierungs-Partner (SI)</t>
        </is>
      </c>
      <c r="B5" s="9" t="n">
        <v>1300</v>
      </c>
      <c r="C5" s="9" t="n">
        <v>0</v>
      </c>
      <c r="D5" s="9" t="n">
        <v>0</v>
      </c>
      <c r="E5" s="9" t="n">
        <v>0</v>
      </c>
      <c r="F5" s="9" t="n">
        <v>0</v>
      </c>
      <c r="G5" s="11">
        <f>SUM(B5:F5)</f>
        <v/>
      </c>
      <c r="H5" s="8" t="inlineStr"/>
    </row>
    <row r="6">
      <c r="A6" s="8" t="inlineStr">
        <is>
          <t>Interne FTE Impl. (in k€)</t>
        </is>
      </c>
      <c r="B6" s="9" t="n">
        <v>520</v>
      </c>
      <c r="C6" s="9" t="n">
        <v>520</v>
      </c>
      <c r="D6" s="9" t="n">
        <v>0</v>
      </c>
      <c r="E6" s="9" t="n">
        <v>0</v>
      </c>
      <c r="F6" s="9" t="n">
        <v>0</v>
      </c>
      <c r="G6" s="11">
        <f>SUM(B6:F6)</f>
        <v/>
      </c>
      <c r="H6" s="8" t="inlineStr"/>
    </row>
    <row r="7">
      <c r="A7" s="8" t="inlineStr">
        <is>
          <t>Change / Schulung</t>
        </is>
      </c>
      <c r="B7" s="9" t="n">
        <v>250</v>
      </c>
      <c r="C7" s="9" t="n">
        <v>100</v>
      </c>
      <c r="D7" s="9" t="n">
        <v>0</v>
      </c>
      <c r="E7" s="9" t="n">
        <v>0</v>
      </c>
      <c r="F7" s="9" t="n">
        <v>0</v>
      </c>
      <c r="G7" s="11">
        <f>SUM(B7:F7)</f>
        <v/>
      </c>
      <c r="H7" s="8" t="inlineStr"/>
    </row>
    <row r="8">
      <c r="A8" s="8" t="inlineStr">
        <is>
          <t>Contingency (Puffer)</t>
        </is>
      </c>
      <c r="B8" s="9" t="n">
        <v>150</v>
      </c>
      <c r="C8" s="9" t="n">
        <v>100</v>
      </c>
      <c r="D8" s="9" t="n">
        <v>0</v>
      </c>
      <c r="E8" s="9" t="n">
        <v>0</v>
      </c>
      <c r="F8" s="9" t="n">
        <v>0</v>
      </c>
      <c r="G8" s="11">
        <f>SUM(B8:F8)</f>
        <v/>
      </c>
      <c r="H8" s="8" t="inlineStr"/>
    </row>
    <row r="9">
      <c r="A9" s="10" t="inlineStr">
        <is>
          <t>Laufende Kosten p.a.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>
      <c r="A10" s="8" t="inlineStr">
        <is>
          <t>Lizenzen SNOW SPM Pro</t>
        </is>
      </c>
      <c r="B10" s="9" t="n">
        <v>720</v>
      </c>
      <c r="C10" s="9" t="n">
        <v>780</v>
      </c>
      <c r="D10" s="9" t="n">
        <v>850</v>
      </c>
      <c r="E10" s="9" t="n">
        <v>850</v>
      </c>
      <c r="F10" s="9" t="n">
        <v>850</v>
      </c>
      <c r="G10" s="11">
        <f>SUM(B10:F10)</f>
        <v/>
      </c>
      <c r="H10" s="8" t="inlineStr"/>
    </row>
    <row r="11">
      <c r="A11" s="8" t="inlineStr">
        <is>
          <t>Interner Betrieb (FTE × Satz)</t>
        </is>
      </c>
      <c r="B11" s="9" t="n">
        <v>260</v>
      </c>
      <c r="C11" s="9" t="n">
        <v>300</v>
      </c>
      <c r="D11" s="9" t="n">
        <v>390</v>
      </c>
      <c r="E11" s="9" t="n">
        <v>390</v>
      </c>
      <c r="F11" s="9" t="n">
        <v>390</v>
      </c>
      <c r="G11" s="11">
        <f>SUM(B11:F11)</f>
        <v/>
      </c>
      <c r="H11" s="8" t="inlineStr"/>
    </row>
    <row r="12">
      <c r="A12" s="8" t="inlineStr">
        <is>
          <t>Externer Support / Wartung</t>
        </is>
      </c>
      <c r="B12" s="9" t="n">
        <v>120</v>
      </c>
      <c r="C12" s="9" t="n">
        <v>150</v>
      </c>
      <c r="D12" s="9" t="n">
        <v>180</v>
      </c>
      <c r="E12" s="9" t="n">
        <v>180</v>
      </c>
      <c r="F12" s="9" t="n">
        <v>180</v>
      </c>
      <c r="G12" s="11">
        <f>SUM(B12:F12)</f>
        <v/>
      </c>
      <c r="H12" s="8" t="inlineStr"/>
    </row>
    <row r="13">
      <c r="A13" s="8" t="inlineStr">
        <is>
          <t>Weiterentwicklung</t>
        </is>
      </c>
      <c r="B13" s="9" t="n">
        <v>50</v>
      </c>
      <c r="C13" s="9" t="n">
        <v>150</v>
      </c>
      <c r="D13" s="9" t="n">
        <v>220</v>
      </c>
      <c r="E13" s="9" t="n">
        <v>220</v>
      </c>
      <c r="F13" s="9" t="n">
        <v>220</v>
      </c>
      <c r="G13" s="11">
        <f>SUM(B13:F13)</f>
        <v/>
      </c>
      <c r="H13" s="8" t="inlineStr"/>
    </row>
    <row r="14">
      <c r="A14" s="10" t="inlineStr">
        <is>
          <t>Summe pro Jahr</t>
        </is>
      </c>
      <c r="B14" s="12">
        <f>B5+B6+B7+B8+B10+B11+B12+B13</f>
        <v/>
      </c>
      <c r="C14" s="12">
        <f>C5+C6+C7+C8+C10+C11+C12+C13</f>
        <v/>
      </c>
      <c r="D14" s="12">
        <f>D5+D6+D7+D8+D10+D11+D12+D13</f>
        <v/>
      </c>
      <c r="E14" s="12">
        <f>E5+E6+E7+E8+E10+E11+E12+E13</f>
        <v/>
      </c>
      <c r="F14" s="12">
        <f>F5+F6+F7+F8+F10+F11+F12+F13</f>
        <v/>
      </c>
      <c r="G14" s="12">
        <f>G5+G6+G7+G8+G10+G11+G12+G13</f>
        <v/>
      </c>
      <c r="H14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Konsolidierungs-Ersparnis: Tool-Ablöse</t>
        </is>
      </c>
    </row>
    <row r="3">
      <c r="A3" s="7" t="inlineStr">
        <is>
          <t>Tool</t>
        </is>
      </c>
      <c r="B3" s="7" t="inlineStr">
        <is>
          <t>Kategorie</t>
        </is>
      </c>
      <c r="C3" s="7" t="inlineStr">
        <is>
          <t>Lizenz p.a. (k€)</t>
        </is>
      </c>
      <c r="D3" s="7" t="inlineStr">
        <is>
          <t>Wartung p.a. (k€)</t>
        </is>
      </c>
      <c r="E3" s="7" t="inlineStr">
        <is>
          <t>FTE-Aufwand (FTE)</t>
        </is>
      </c>
      <c r="F3" s="7" t="inlineStr">
        <is>
          <t>FTE-Kosten (k€)</t>
        </is>
      </c>
      <c r="G3" s="7" t="inlineStr">
        <is>
          <t>Sonst. (k€)</t>
        </is>
      </c>
      <c r="H3" s="7" t="inlineStr">
        <is>
          <t>Ersparnis p.a. (k€)</t>
        </is>
      </c>
    </row>
    <row r="4">
      <c r="A4" s="8" t="inlineStr">
        <is>
          <t>PIT / PLANTA</t>
        </is>
      </c>
      <c r="B4" s="8" t="inlineStr">
        <is>
          <t>Projekt-/Ressourcen-Mgmt</t>
        </is>
      </c>
      <c r="C4" s="9" t="n">
        <v>0</v>
      </c>
      <c r="D4" s="9" t="n">
        <v>0</v>
      </c>
      <c r="E4" s="9" t="n">
        <v>0</v>
      </c>
      <c r="F4" s="11">
        <f>E4*Assumptions!B5</f>
        <v/>
      </c>
      <c r="G4" s="9" t="n">
        <v>0</v>
      </c>
      <c r="H4" s="11">
        <f>C4+D4+F4+G4</f>
        <v/>
      </c>
    </row>
    <row r="5">
      <c r="A5" s="8" t="inlineStr">
        <is>
          <t>MS Project Online</t>
        </is>
      </c>
      <c r="B5" s="8" t="inlineStr">
        <is>
          <t>Klass. Projekt-Mgmt</t>
        </is>
      </c>
      <c r="C5" s="9" t="n">
        <v>0</v>
      </c>
      <c r="D5" s="9" t="n">
        <v>0</v>
      </c>
      <c r="E5" s="9" t="n">
        <v>0</v>
      </c>
      <c r="F5" s="11">
        <f>E5*Assumptions!B5</f>
        <v/>
      </c>
      <c r="G5" s="9" t="n">
        <v>0</v>
      </c>
      <c r="H5" s="11">
        <f>C5+D5+F5+G5</f>
        <v/>
      </c>
    </row>
    <row r="6">
      <c r="A6" s="8" t="inlineStr">
        <is>
          <t>Workpath</t>
        </is>
      </c>
      <c r="B6" s="8" t="inlineStr">
        <is>
          <t>Strategie / OKR</t>
        </is>
      </c>
      <c r="C6" s="9" t="n">
        <v>0</v>
      </c>
      <c r="D6" s="9" t="n">
        <v>0</v>
      </c>
      <c r="E6" s="9" t="n">
        <v>0</v>
      </c>
      <c r="F6" s="11">
        <f>E6*Assumptions!B5</f>
        <v/>
      </c>
      <c r="G6" s="9" t="n">
        <v>0</v>
      </c>
      <c r="H6" s="11">
        <f>C6+D6+F6+G6</f>
        <v/>
      </c>
    </row>
    <row r="7">
      <c r="A7" s="8" t="inlineStr">
        <is>
          <t>Power Apps</t>
        </is>
      </c>
      <c r="B7" s="8" t="inlineStr">
        <is>
          <t>Custom-Formulare</t>
        </is>
      </c>
      <c r="C7" s="9" t="n">
        <v>0</v>
      </c>
      <c r="D7" s="9" t="n">
        <v>0</v>
      </c>
      <c r="E7" s="9" t="n">
        <v>0</v>
      </c>
      <c r="F7" s="11">
        <f>E7*Assumptions!B5</f>
        <v/>
      </c>
      <c r="G7" s="9" t="n">
        <v>0</v>
      </c>
      <c r="H7" s="11">
        <f>C7+D7+F7+G7</f>
        <v/>
      </c>
    </row>
    <row r="8">
      <c r="A8" s="8" t="inlineStr">
        <is>
          <t>SharePoint-Listen</t>
        </is>
      </c>
      <c r="B8" s="8" t="inlineStr">
        <is>
          <t>Demand-Listen</t>
        </is>
      </c>
      <c r="C8" s="9" t="n">
        <v>0</v>
      </c>
      <c r="D8" s="9" t="n">
        <v>0</v>
      </c>
      <c r="E8" s="9" t="n">
        <v>0</v>
      </c>
      <c r="F8" s="11">
        <f>E8*Assumptions!B5</f>
        <v/>
      </c>
      <c r="G8" s="9" t="n">
        <v>0</v>
      </c>
      <c r="H8" s="11">
        <f>C8+D8+F8+G8</f>
        <v/>
      </c>
    </row>
    <row r="9">
      <c r="A9" s="8" t="inlineStr">
        <is>
          <t>Lucom (EV, teilweise)</t>
        </is>
      </c>
      <c r="B9" s="8" t="inlineStr">
        <is>
          <t>EV-Prozess</t>
        </is>
      </c>
      <c r="C9" s="9" t="n">
        <v>0</v>
      </c>
      <c r="D9" s="9" t="n">
        <v>0</v>
      </c>
      <c r="E9" s="9" t="n">
        <v>0</v>
      </c>
      <c r="F9" s="11">
        <f>E9*Assumptions!B5</f>
        <v/>
      </c>
      <c r="G9" s="9" t="n">
        <v>0</v>
      </c>
      <c r="H9" s="11">
        <f>C9+D9+F9+G9</f>
        <v/>
      </c>
    </row>
    <row r="10">
      <c r="A10" s="13" t="inlineStr">
        <is>
          <t>Summe</t>
        </is>
      </c>
      <c r="B10" s="14" t="n"/>
      <c r="C10" s="14">
        <f>SUM(C4:C9)</f>
        <v/>
      </c>
      <c r="D10" s="14">
        <f>SUM(D4:D9)</f>
        <v/>
      </c>
      <c r="E10" s="14">
        <f>SUM(E4:E9)</f>
        <v/>
      </c>
      <c r="F10" s="14">
        <f>SUM(F4:F9)</f>
        <v/>
      </c>
      <c r="G10" s="14">
        <f>SUM(G4:G9)</f>
        <v/>
      </c>
      <c r="H10" s="14">
        <f>SUM(H4:H9)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Konsolidierungs-Ersparnis: Schnittstellen / Integrationen</t>
        </is>
      </c>
    </row>
    <row r="3">
      <c r="A3" s="7" t="inlineStr">
        <is>
          <t>Schnittstelle heute</t>
        </is>
      </c>
      <c r="B3" s="7" t="inlineStr">
        <is>
          <t>Wartungs-PT/Jahr</t>
        </is>
      </c>
      <c r="C3" s="7" t="inlineStr">
        <is>
          <t>PT-Satz (€/PT)</t>
        </is>
      </c>
      <c r="D3" s="7" t="inlineStr">
        <is>
          <t>Ersparnis Wartung (k€)</t>
        </is>
      </c>
      <c r="E3" s="7" t="inlineStr">
        <is>
          <t>Sonst. Betriebskosten (k€)</t>
        </is>
      </c>
      <c r="F3" s="7" t="inlineStr">
        <is>
          <t>Ersparnis gesamt (k€)</t>
        </is>
      </c>
    </row>
    <row r="4">
      <c r="A4" s="8" t="inlineStr">
        <is>
          <t>PIT ↔ SAP FI</t>
        </is>
      </c>
      <c r="B4" s="9" t="n">
        <v>0</v>
      </c>
      <c r="C4" s="9" t="n">
        <v>1200</v>
      </c>
      <c r="D4" s="11">
        <f>B4*C4/1000</f>
        <v/>
      </c>
      <c r="E4" s="9" t="n">
        <v>0</v>
      </c>
      <c r="F4" s="11">
        <f>D4+E4</f>
        <v/>
      </c>
    </row>
    <row r="5">
      <c r="A5" s="8" t="inlineStr">
        <is>
          <t>MSPO ↔ SAP HCM</t>
        </is>
      </c>
      <c r="B5" s="9" t="n">
        <v>0</v>
      </c>
      <c r="C5" s="9" t="n">
        <v>1200</v>
      </c>
      <c r="D5" s="11">
        <f>B5*C5/1000</f>
        <v/>
      </c>
      <c r="E5" s="9" t="n">
        <v>0</v>
      </c>
      <c r="F5" s="11">
        <f>D5+E5</f>
        <v/>
      </c>
    </row>
    <row r="6">
      <c r="A6" s="8" t="inlineStr">
        <is>
          <t>SharePoint ↔ Excel-Exports</t>
        </is>
      </c>
      <c r="B6" s="9" t="n">
        <v>0</v>
      </c>
      <c r="C6" s="9" t="n">
        <v>1200</v>
      </c>
      <c r="D6" s="11">
        <f>B6*C6/1000</f>
        <v/>
      </c>
      <c r="E6" s="9" t="n">
        <v>0</v>
      </c>
      <c r="F6" s="11">
        <f>D6+E6</f>
        <v/>
      </c>
    </row>
    <row r="7">
      <c r="A7" s="8" t="inlineStr">
        <is>
          <t>Workpath ↔ Excel-Reporting</t>
        </is>
      </c>
      <c r="B7" s="9" t="n">
        <v>0</v>
      </c>
      <c r="C7" s="9" t="n">
        <v>1200</v>
      </c>
      <c r="D7" s="11">
        <f>B7*C7/1000</f>
        <v/>
      </c>
      <c r="E7" s="9" t="n">
        <v>0</v>
      </c>
      <c r="F7" s="11">
        <f>D7+E7</f>
        <v/>
      </c>
    </row>
    <row r="8">
      <c r="A8" s="8" t="inlineStr">
        <is>
          <t>PowerApps ↔ Dataverse</t>
        </is>
      </c>
      <c r="B8" s="9" t="n">
        <v>0</v>
      </c>
      <c r="C8" s="9" t="n">
        <v>1200</v>
      </c>
      <c r="D8" s="11">
        <f>B8*C8/1000</f>
        <v/>
      </c>
      <c r="E8" s="9" t="n">
        <v>0</v>
      </c>
      <c r="F8" s="11">
        <f>D8+E8</f>
        <v/>
      </c>
    </row>
    <row r="9">
      <c r="A9" s="8" t="inlineStr">
        <is>
          <t>Lucom EV ↔ SAP</t>
        </is>
      </c>
      <c r="B9" s="9" t="n">
        <v>0</v>
      </c>
      <c r="C9" s="9" t="n">
        <v>1200</v>
      </c>
      <c r="D9" s="11">
        <f>B9*C9/1000</f>
        <v/>
      </c>
      <c r="E9" s="9" t="n">
        <v>0</v>
      </c>
      <c r="F9" s="11">
        <f>D9+E9</f>
        <v/>
      </c>
    </row>
    <row r="10">
      <c r="A10" s="8" t="inlineStr">
        <is>
          <t>Excel-Konsolidierungen (diverse)</t>
        </is>
      </c>
      <c r="B10" s="9" t="n">
        <v>0</v>
      </c>
      <c r="C10" s="9" t="n">
        <v>1200</v>
      </c>
      <c r="D10" s="11">
        <f>B10*C10/1000</f>
        <v/>
      </c>
      <c r="E10" s="9" t="n">
        <v>0</v>
      </c>
      <c r="F10" s="11">
        <f>D10+E10</f>
        <v/>
      </c>
    </row>
    <row r="11">
      <c r="A11" t="inlineStr">
        <is>
          <t>Summe</t>
        </is>
      </c>
      <c r="B11" s="14" t="n"/>
      <c r="C11" s="14" t="n"/>
      <c r="D11" s="14">
        <f>SUM(D4:D10)</f>
        <v/>
      </c>
      <c r="E11" s="14">
        <f>SUM(E4:E10)</f>
        <v/>
      </c>
      <c r="F11" s="14">
        <f>SUM(F4:F10)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Support-Kosten: Intern + Extern + Weiterentwicklung</t>
        </is>
      </c>
    </row>
    <row r="3">
      <c r="A3" s="7" t="inlineStr">
        <is>
          <t>Position</t>
        </is>
      </c>
      <c r="B3" s="7" t="inlineStr">
        <is>
          <t>Typ</t>
        </is>
      </c>
      <c r="C3" s="7" t="inlineStr">
        <is>
          <t>FTE</t>
        </is>
      </c>
      <c r="D3" s="7" t="inlineStr">
        <is>
          <t>Preis (k€)</t>
        </is>
      </c>
      <c r="E3" s="7" t="inlineStr">
        <is>
          <t>Kosten p.a. (k€)</t>
        </is>
      </c>
    </row>
    <row r="4">
      <c r="A4" s="8" t="inlineStr">
        <is>
          <t>SNOW-Plattform-Admin</t>
        </is>
      </c>
      <c r="B4" s="8" t="inlineStr">
        <is>
          <t>Intern FTE</t>
        </is>
      </c>
      <c r="C4" s="9" t="n">
        <v>1</v>
      </c>
      <c r="E4" s="11">
        <f>C4*Assumptions!B5</f>
        <v/>
      </c>
    </row>
    <row r="5">
      <c r="A5" s="8" t="inlineStr">
        <is>
          <t>SPM Business Analyst</t>
        </is>
      </c>
      <c r="B5" s="8" t="inlineStr">
        <is>
          <t>Intern FTE</t>
        </is>
      </c>
      <c r="C5" s="9" t="n">
        <v>1</v>
      </c>
      <c r="E5" s="11">
        <f>C5*Assumptions!B5</f>
        <v/>
      </c>
    </row>
    <row r="6">
      <c r="A6" s="8" t="inlineStr">
        <is>
          <t>Integration/Schnittstellen</t>
        </is>
      </c>
      <c r="B6" s="8" t="inlineStr">
        <is>
          <t>Intern FTE</t>
        </is>
      </c>
      <c r="C6" s="9" t="n">
        <v>0.5</v>
      </c>
      <c r="E6" s="11">
        <f>C6*Assumptions!B5</f>
        <v/>
      </c>
    </row>
    <row r="7">
      <c r="A7" s="8" t="inlineStr">
        <is>
          <t>Data Governance</t>
        </is>
      </c>
      <c r="B7" s="8" t="inlineStr">
        <is>
          <t>Intern FTE</t>
        </is>
      </c>
      <c r="C7" s="9" t="n">
        <v>0.3</v>
      </c>
      <c r="E7" s="11">
        <f>C7*Assumptions!B5</f>
        <v/>
      </c>
    </row>
    <row r="8">
      <c r="A8" s="8" t="inlineStr">
        <is>
          <t>User Support 2nd Level</t>
        </is>
      </c>
      <c r="B8" s="8" t="inlineStr">
        <is>
          <t>Intern FTE</t>
        </is>
      </c>
      <c r="C8" s="9" t="n">
        <v>0.2</v>
      </c>
      <c r="E8" s="11">
        <f>C8*Assumptions!B5</f>
        <v/>
      </c>
    </row>
    <row r="9">
      <c r="A9" s="8" t="inlineStr">
        <is>
          <t>Wartungsvertrag SNOW</t>
        </is>
      </c>
      <c r="B9" s="8" t="inlineStr">
        <is>
          <t>Extern</t>
        </is>
      </c>
      <c r="C9" s="8" t="inlineStr"/>
      <c r="D9" s="9" t="n">
        <v>70</v>
      </c>
      <c r="E9" s="11">
        <f>D9</f>
        <v/>
      </c>
    </row>
    <row r="10">
      <c r="A10" s="8" t="inlineStr">
        <is>
          <t>Managed Service Partner</t>
        </is>
      </c>
      <c r="B10" s="8" t="inlineStr">
        <is>
          <t>Extern</t>
        </is>
      </c>
      <c r="C10" s="8" t="inlineStr"/>
      <c r="D10" s="9" t="n">
        <v>90</v>
      </c>
      <c r="E10" s="11">
        <f>D10</f>
        <v/>
      </c>
    </row>
    <row r="11">
      <c r="A11" s="8" t="inlineStr">
        <is>
          <t>Externes Consulting</t>
        </is>
      </c>
      <c r="B11" s="8" t="inlineStr">
        <is>
          <t>Extern</t>
        </is>
      </c>
      <c r="C11" s="8" t="inlineStr"/>
      <c r="D11" s="9" t="n">
        <v>60</v>
      </c>
      <c r="E11" s="11">
        <f>D11</f>
        <v/>
      </c>
    </row>
    <row r="12">
      <c r="A12" s="8" t="inlineStr">
        <is>
          <t>Zertifizierungen / Training</t>
        </is>
      </c>
      <c r="B12" s="8" t="inlineStr">
        <is>
          <t>Extern</t>
        </is>
      </c>
      <c r="C12" s="8" t="inlineStr"/>
      <c r="D12" s="9" t="n">
        <v>30</v>
      </c>
      <c r="E12" s="11">
        <f>D12</f>
        <v/>
      </c>
    </row>
    <row r="13">
      <c r="A13" s="8" t="inlineStr">
        <is>
          <t>Feature-Backlog Business</t>
        </is>
      </c>
      <c r="B13" s="8" t="inlineStr">
        <is>
          <t>Weiterentw.</t>
        </is>
      </c>
      <c r="C13" s="8" t="inlineStr"/>
      <c r="D13" s="9" t="n">
        <v>100</v>
      </c>
      <c r="E13" s="11">
        <f>D13</f>
        <v/>
      </c>
    </row>
    <row r="14">
      <c r="A14" s="8" t="inlineStr">
        <is>
          <t>Release-Upgrade-Anpassungen</t>
        </is>
      </c>
      <c r="B14" s="8" t="inlineStr">
        <is>
          <t>Weiterentw.</t>
        </is>
      </c>
      <c r="C14" s="8" t="inlineStr"/>
      <c r="D14" s="9" t="n">
        <v>50</v>
      </c>
      <c r="E14" s="11">
        <f>D14</f>
        <v/>
      </c>
    </row>
    <row r="15">
      <c r="A15" s="8" t="inlineStr">
        <is>
          <t>Custom-Reports/Dashboards</t>
        </is>
      </c>
      <c r="B15" s="8" t="inlineStr">
        <is>
          <t>Weiterentw.</t>
        </is>
      </c>
      <c r="C15" s="8" t="inlineStr"/>
      <c r="D15" s="9" t="n">
        <v>40</v>
      </c>
      <c r="E15" s="11">
        <f>D15</f>
        <v/>
      </c>
    </row>
    <row r="16">
      <c r="A16" s="8" t="inlineStr">
        <is>
          <t>Innovation Sprints</t>
        </is>
      </c>
      <c r="B16" s="8" t="inlineStr">
        <is>
          <t>Weiterentw.</t>
        </is>
      </c>
      <c r="C16" s="8" t="inlineStr"/>
      <c r="D16" s="9" t="n">
        <v>30</v>
      </c>
      <c r="E16" s="11">
        <f>D16</f>
        <v/>
      </c>
    </row>
    <row r="17">
      <c r="A17" s="15" t="inlineStr">
        <is>
          <t>Summe p.a.</t>
        </is>
      </c>
      <c r="B17" s="15" t="n"/>
      <c r="C17" s="15" t="n"/>
      <c r="D17" s="15" t="n"/>
      <c r="E17" s="15">
        <f>SUM(E4:E16)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Business Value: Nutzen-Kategorien</t>
        </is>
      </c>
    </row>
    <row r="3">
      <c r="A3" s="7" t="inlineStr">
        <is>
          <t>Nutzen-Kategorie</t>
        </is>
      </c>
      <c r="B3" s="7" t="inlineStr">
        <is>
          <t>Beschreibung</t>
        </is>
      </c>
      <c r="C3" s="7" t="inlineStr">
        <is>
          <t>Berechnungslogik</t>
        </is>
      </c>
      <c r="D3" s="7" t="inlineStr">
        <is>
          <t>Menge (Basis)</t>
        </is>
      </c>
      <c r="E3" s="7" t="inlineStr">
        <is>
          <t>Wert je Einheit (€)</t>
        </is>
      </c>
      <c r="F3" s="7" t="inlineStr">
        <is>
          <t>Nutzen p.a. (k€)</t>
        </is>
      </c>
    </row>
    <row r="4">
      <c r="A4" s="8" t="inlineStr">
        <is>
          <t>Effizienz PM/PPM</t>
        </is>
      </c>
      <c r="B4" s="8" t="inlineStr">
        <is>
          <t>Weniger manuelle Excels/Berichte, Ressourcen-Steuerung</t>
        </is>
      </c>
      <c r="C4" s="8" t="inlineStr">
        <is>
          <t>Reporting-PT × PT-Satz</t>
        </is>
      </c>
      <c r="D4" s="9" t="n">
        <v>400</v>
      </c>
      <c r="E4" s="9" t="n">
        <v>1200</v>
      </c>
      <c r="F4" s="11">
        <f>IFERROR(D4*E4/1000,0)</f>
        <v/>
      </c>
    </row>
    <row r="5">
      <c r="A5" s="8" t="inlineStr">
        <is>
          <t>Time-to-Market</t>
        </is>
      </c>
      <c r="B5" s="8" t="inlineStr">
        <is>
          <t>Schnellere Idee→Projekt-Start (Gates in System)</t>
        </is>
      </c>
      <c r="C5" s="8" t="inlineStr">
        <is>
          <t>Ø Zeitgewinn × Umsatz p.d.</t>
        </is>
      </c>
      <c r="D5" s="9" t="inlineStr"/>
      <c r="E5" s="9" t="inlineStr"/>
      <c r="F5" s="11">
        <f>IFERROR(D5*E5/1000,0)</f>
        <v/>
      </c>
    </row>
    <row r="6">
      <c r="A6" s="8" t="inlineStr">
        <is>
          <t>Governance / Rework</t>
        </is>
      </c>
      <c r="B6" s="8" t="inlineStr">
        <is>
          <t>Weniger Doppelarbeit, klare Priorisierung</t>
        </is>
      </c>
      <c r="C6" s="8" t="inlineStr">
        <is>
          <t>Rework-Fälle × Kosten je Fall</t>
        </is>
      </c>
      <c r="D6" s="9" t="inlineStr"/>
      <c r="E6" s="9" t="inlineStr"/>
      <c r="F6" s="11">
        <f>IFERROR(D6*E6/1000,0)</f>
        <v/>
      </c>
    </row>
    <row r="7">
      <c r="A7" s="8" t="inlineStr">
        <is>
          <t>Ressourcen-Optimierung</t>
        </is>
      </c>
      <c r="B7" s="8" t="inlineStr">
        <is>
          <t>Skill-Match, Auslastungs-Steuerung</t>
        </is>
      </c>
      <c r="C7" s="8" t="inlineStr">
        <is>
          <t>Ausgelastete FTE × Satz × Gewinn %</t>
        </is>
      </c>
      <c r="D7" s="9" t="inlineStr"/>
      <c r="E7" s="9" t="inlineStr"/>
      <c r="F7" s="11">
        <f>IFERROR(D7*E7/1000,0)</f>
        <v/>
      </c>
    </row>
    <row r="8">
      <c r="A8" s="8" t="inlineStr">
        <is>
          <t>Compliance / Audit</t>
        </is>
      </c>
      <c r="B8" s="8" t="inlineStr">
        <is>
          <t>Nachvollziehbarkeit, Business Cases im System</t>
        </is>
      </c>
      <c r="C8" s="8" t="inlineStr">
        <is>
          <t>Audit-Aufwand-Reduktion</t>
        </is>
      </c>
      <c r="D8" s="9" t="inlineStr"/>
      <c r="E8" s="9" t="inlineStr"/>
      <c r="F8" s="11">
        <f>IFERROR(D8*E8/1000,0)</f>
        <v/>
      </c>
    </row>
    <row r="9">
      <c r="A9" s="14" t="inlineStr">
        <is>
          <t>Summe Nutzen p.a.</t>
        </is>
      </c>
      <c r="B9" s="14" t="n"/>
      <c r="C9" s="14" t="n"/>
      <c r="D9" s="14" t="n"/>
      <c r="E9" s="14" t="n"/>
      <c r="F9" s="14">
        <f>SUM(F4:F8)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6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Flankierende Prozesse: Zusätzliche Potentiale</t>
        </is>
      </c>
    </row>
    <row r="3">
      <c r="A3" s="7" t="inlineStr">
        <is>
          <t>Prozess</t>
        </is>
      </c>
      <c r="B3" s="7" t="inlineStr">
        <is>
          <t>Beschreibung</t>
        </is>
      </c>
      <c r="C3" s="7" t="inlineStr">
        <is>
          <t>Berechnungslogik</t>
        </is>
      </c>
      <c r="D3" s="7" t="inlineStr">
        <is>
          <t>Menge</t>
        </is>
      </c>
      <c r="E3" s="7" t="inlineStr">
        <is>
          <t>Wert (€)</t>
        </is>
      </c>
      <c r="F3" s="7" t="inlineStr">
        <is>
          <t>Ersparnis p.a. (k€)</t>
        </is>
      </c>
    </row>
    <row r="4">
      <c r="A4" s="8" t="inlineStr">
        <is>
          <t>Maßnahmen-Management im Zielkostenmanagement der Produktentwicklung</t>
        </is>
      </c>
      <c r="B4" s="8" t="inlineStr">
        <is>
          <t>Zentraler Maßnahmen-Backlog, Verknüpfung mit Portfolios/Cost-Targets</t>
        </is>
      </c>
      <c r="C4" s="8" t="inlineStr"/>
      <c r="D4" s="9" t="inlineStr"/>
      <c r="E4" s="9" t="inlineStr"/>
      <c r="F4" s="9" t="n">
        <v>380</v>
      </c>
    </row>
    <row r="5">
      <c r="A5" s="8" t="inlineStr">
        <is>
          <t>Innovations- / Vorhaben-Trichter (LH/CRD → Steckbrief → Projekt)</t>
        </is>
      </c>
      <c r="B5" s="8" t="inlineStr">
        <is>
          <t>Durchgängige Pipeline; weniger Reibungsverluste</t>
        </is>
      </c>
      <c r="C5" s="8" t="inlineStr"/>
      <c r="D5" s="9" t="inlineStr"/>
      <c r="E5" s="9" t="inlineStr"/>
      <c r="F5" s="9" t="n">
        <v>220</v>
      </c>
    </row>
    <row r="6">
      <c r="A6" s="8" t="inlineStr">
        <is>
          <t>Application Portfolio Mgmt (APM)</t>
        </is>
      </c>
      <c r="B6" s="8" t="inlineStr">
        <is>
          <t>Lifecycle-Management der Anwendungslandschaft</t>
        </is>
      </c>
      <c r="C6" s="8" t="inlineStr"/>
      <c r="D6" s="9" t="inlineStr"/>
      <c r="E6" s="9" t="inlineStr"/>
      <c r="F6" s="9" t="n">
        <v>160</v>
      </c>
    </row>
    <row r="7">
      <c r="A7" s="8" t="inlineStr">
        <is>
          <t>Benefits Realization Tracking</t>
        </is>
      </c>
      <c r="B7" s="8" t="inlineStr">
        <is>
          <t>Ist-/Soll-Nutzenabgleich nach Projektabschluss</t>
        </is>
      </c>
      <c r="C7" s="8" t="inlineStr"/>
      <c r="D7" s="9" t="inlineStr"/>
      <c r="E7" s="9" t="inlineStr"/>
      <c r="F7" s="9" t="n">
        <v>120</v>
      </c>
    </row>
    <row r="8">
      <c r="A8" s="8" t="inlineStr">
        <is>
          <t>Compliance / EV-Prozess-Digitalisierung</t>
        </is>
      </c>
      <c r="B8" s="8" t="inlineStr">
        <is>
          <t>EV-Workflow in SNOW; weniger manuelle Freigabeschleifen</t>
        </is>
      </c>
      <c r="C8" s="8" t="inlineStr"/>
      <c r="D8" s="9" t="inlineStr"/>
      <c r="E8" s="9" t="inlineStr"/>
      <c r="F8" s="9" t="n">
        <v>180</v>
      </c>
    </row>
    <row r="9">
      <c r="A9" s="15" t="inlineStr">
        <is>
          <t>Summe</t>
        </is>
      </c>
      <c r="B9" s="15" t="n"/>
      <c r="C9" s="15" t="n"/>
      <c r="D9" s="15" t="n"/>
      <c r="E9" s="15" t="n"/>
      <c r="F9" s="15">
        <f>SUM(F4:F8)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</cols>
  <sheetData>
    <row r="1">
      <c r="A1" s="6" t="inlineStr">
        <is>
          <t>Szenarien-Vergleich</t>
        </is>
      </c>
    </row>
    <row r="3">
      <c r="A3" s="7" t="inlineStr">
        <is>
          <t>Kennzahl</t>
        </is>
      </c>
      <c r="B3" s="7" t="inlineStr">
        <is>
          <t>Szenario A (24 Mo, Full)</t>
        </is>
      </c>
      <c r="C3" s="7" t="inlineStr">
        <is>
          <t>Szenario B (36 Mo, Extended)</t>
        </is>
      </c>
      <c r="D3" s="7" t="inlineStr">
        <is>
          <t>Szenario C (12+18 Mo, MVP)</t>
        </is>
      </c>
    </row>
    <row r="4">
      <c r="A4" s="16" t="inlineStr">
        <is>
          <t>Dauer (Monate)</t>
        </is>
      </c>
      <c r="B4" s="9" t="n">
        <v>24</v>
      </c>
      <c r="C4" s="9" t="n">
        <v>36</v>
      </c>
      <c r="D4" s="9" t="n">
        <v>30</v>
      </c>
    </row>
    <row r="5">
      <c r="A5" s="16" t="inlineStr">
        <is>
          <t>Einmalige Kosten (k€)</t>
        </is>
      </c>
      <c r="B5" s="9" t="n">
        <v>3000</v>
      </c>
      <c r="C5" s="9" t="n">
        <v>2700</v>
      </c>
      <c r="D5" s="9" t="n">
        <v>2200</v>
      </c>
    </row>
    <row r="6">
      <c r="A6" s="16" t="inlineStr">
        <is>
          <t>Laufend p.a. steady (k€)</t>
        </is>
      </c>
      <c r="B6" s="9" t="n">
        <v>850</v>
      </c>
      <c r="C6" s="9" t="n">
        <v>800</v>
      </c>
      <c r="D6" s="9" t="n">
        <v>700</v>
      </c>
    </row>
    <row r="7">
      <c r="A7" s="16" t="inlineStr">
        <is>
          <t>5-Jahres-TCO (k€)</t>
        </is>
      </c>
      <c r="B7" s="11">
        <f>B5+5*B6</f>
        <v/>
      </c>
      <c r="C7" s="11">
        <f>C5+5*C6</f>
        <v/>
      </c>
      <c r="D7" s="11">
        <f>D5+5*D6</f>
        <v/>
      </c>
    </row>
    <row r="8">
      <c r="A8" s="16" t="inlineStr">
        <is>
          <t>Nutzen Y3 kumul. (k€)</t>
        </is>
      </c>
      <c r="B8" s="9" t="n">
        <v>3500</v>
      </c>
      <c r="C8" s="9" t="n">
        <v>1800</v>
      </c>
      <c r="D8" s="9" t="n">
        <v>2500</v>
      </c>
    </row>
    <row r="9">
      <c r="A9" s="16" t="inlineStr">
        <is>
          <t>Nutzen Y5 kumul. (k€)</t>
        </is>
      </c>
      <c r="B9" s="9" t="n">
        <v>16000</v>
      </c>
      <c r="C9" s="9" t="n">
        <v>12000</v>
      </c>
      <c r="D9" s="9" t="n">
        <v>13500</v>
      </c>
    </row>
    <row r="10">
      <c r="A10" s="16" t="inlineStr">
        <is>
          <t>Payback (Jahre)</t>
        </is>
      </c>
      <c r="B10" s="9" t="n">
        <v>3.5</v>
      </c>
      <c r="C10" s="9" t="n">
        <v>4.5</v>
      </c>
      <c r="D10" s="9" t="n">
        <v>3</v>
      </c>
    </row>
    <row r="11">
      <c r="A11" s="16" t="inlineStr">
        <is>
          <t>Empfohlen?</t>
        </is>
      </c>
      <c r="B11" s="17" t="inlineStr">
        <is>
          <t>★ Ja</t>
        </is>
      </c>
      <c r="C11" s="17" t="inlineStr">
        <is>
          <t>Nein</t>
        </is>
      </c>
      <c r="D11" s="17" t="inlineStr">
        <is>
          <t>Nein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ServiceNow: Vertragshistorie 2014 – heute</t>
        </is>
      </c>
    </row>
    <row r="3">
      <c r="A3" s="7" t="inlineStr">
        <is>
          <t>Jahr</t>
        </is>
      </c>
      <c r="B3" s="7" t="inlineStr">
        <is>
          <t>Vertragsstufe</t>
        </is>
      </c>
      <c r="C3" s="7" t="inlineStr">
        <is>
          <t>Beschreibung</t>
        </is>
      </c>
      <c r="D3" s="7" t="inlineStr">
        <is>
          <t>Named User</t>
        </is>
      </c>
      <c r="E3" s="7" t="inlineStr">
        <is>
          <t>Lizenz p.a. (k€)</t>
        </is>
      </c>
      <c r="F3" s="7" t="inlineStr">
        <is>
          <t>Δ vs Vorjahr (%)</t>
        </is>
      </c>
      <c r="G3" s="7" t="inlineStr">
        <is>
          <t>Sonstige Notizen</t>
        </is>
      </c>
    </row>
    <row r="4">
      <c r="A4" s="9" t="n">
        <v>2014</v>
      </c>
      <c r="B4" s="8" t="inlineStr">
        <is>
          <t>Erstvertrag ITSM</t>
        </is>
      </c>
      <c r="C4" s="8" t="inlineStr">
        <is>
          <t>Standard Package, 500 Fulfiller</t>
        </is>
      </c>
      <c r="D4" s="9" t="inlineStr"/>
      <c r="E4" s="9" t="n">
        <v>180</v>
      </c>
      <c r="G4" s="8" t="inlineStr"/>
    </row>
    <row r="5">
      <c r="A5" s="9" t="n">
        <v>2016</v>
      </c>
      <c r="B5" s="8" t="inlineStr">
        <is>
          <t>Erweiterung Global</t>
        </is>
      </c>
      <c r="C5" s="8" t="inlineStr">
        <is>
          <t>Ausrollung inkl. China</t>
        </is>
      </c>
      <c r="D5" s="9" t="inlineStr"/>
      <c r="E5" s="9" t="n">
        <v>260</v>
      </c>
      <c r="F5" s="11">
        <f>(E5-E4)/E4</f>
        <v/>
      </c>
      <c r="G5" s="8" t="inlineStr"/>
    </row>
    <row r="6">
      <c r="A6" s="9" t="n">
        <v>2018</v>
      </c>
      <c r="B6" s="8" t="inlineStr">
        <is>
          <t>Enterprise-Vertrag</t>
        </is>
      </c>
      <c r="C6" s="8" t="inlineStr">
        <is>
          <t>Volumen-Diskont, HR-SD add-on</t>
        </is>
      </c>
      <c r="D6" s="9" t="inlineStr"/>
      <c r="E6" s="9" t="n">
        <v>340</v>
      </c>
      <c r="F6" s="11">
        <f>(E6-E5)/E5</f>
        <v/>
      </c>
      <c r="G6" s="8" t="inlineStr"/>
    </row>
    <row r="7">
      <c r="A7" s="9" t="n">
        <v>2020</v>
      </c>
      <c r="B7" s="8" t="inlineStr">
        <is>
          <t>ITOM + CMDB</t>
        </is>
      </c>
      <c r="C7" s="8" t="inlineStr">
        <is>
          <t>Discovery, Event Mgmt</t>
        </is>
      </c>
      <c r="D7" s="9" t="inlineStr"/>
      <c r="E7" s="9" t="n">
        <v>410</v>
      </c>
      <c r="F7" s="11">
        <f>(E7-E6)/E6</f>
        <v/>
      </c>
      <c r="G7" s="8" t="inlineStr"/>
    </row>
    <row r="8">
      <c r="A8" s="9" t="n">
        <v>2022</v>
      </c>
      <c r="B8" s="8" t="inlineStr">
        <is>
          <t>Contract Renewal 3J</t>
        </is>
      </c>
      <c r="C8" s="8" t="inlineStr">
        <is>
          <t>Preisanpassung +5% p.a.</t>
        </is>
      </c>
      <c r="D8" s="9" t="inlineStr"/>
      <c r="E8" s="9" t="n">
        <v>490</v>
      </c>
      <c r="F8" s="11">
        <f>(E8-E7)/E7</f>
        <v/>
      </c>
      <c r="G8" s="8" t="inlineStr"/>
    </row>
    <row r="9">
      <c r="A9" s="9" t="n">
        <v>2024</v>
      </c>
      <c r="B9" s="8" t="inlineStr">
        <is>
          <t>Now Assist Preview</t>
        </is>
      </c>
      <c r="C9" s="8" t="inlineStr">
        <is>
          <t>GenAI eingeführt</t>
        </is>
      </c>
      <c r="D9" s="9" t="inlineStr"/>
      <c r="E9" s="9" t="n">
        <v>560</v>
      </c>
      <c r="F9" s="11">
        <f>(E9-E8)/E8</f>
        <v/>
      </c>
      <c r="G9" s="8" t="inlineStr"/>
    </row>
    <row r="10">
      <c r="A10" s="9" t="n">
        <v>2026</v>
      </c>
      <c r="B10" s="8" t="inlineStr">
        <is>
          <t>SPM Pro (geplant)</t>
        </is>
      </c>
      <c r="C10" s="8" t="inlineStr">
        <is>
          <t>Neuer Modul-Baustein</t>
        </is>
      </c>
      <c r="D10" s="9" t="inlineStr"/>
      <c r="E10" s="9" t="n">
        <v>820</v>
      </c>
      <c r="F10" s="11">
        <f>(E10-E9)/E9</f>
        <v/>
      </c>
      <c r="G10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12" customWidth="1" min="4" max="4"/>
    <col width="12" customWidth="1" min="5" max="5"/>
    <col width="1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Risiko-Register</t>
        </is>
      </c>
    </row>
    <row r="3">
      <c r="A3" s="7" t="inlineStr">
        <is>
          <t>#</t>
        </is>
      </c>
      <c r="B3" s="7" t="inlineStr">
        <is>
          <t>Risiko</t>
        </is>
      </c>
      <c r="C3" s="7" t="inlineStr">
        <is>
          <t>Beschreibung</t>
        </is>
      </c>
      <c r="D3" s="7" t="inlineStr">
        <is>
          <t>Wahrsch. (1-5)</t>
        </is>
      </c>
      <c r="E3" s="7" t="inlineStr">
        <is>
          <t>Auswirkung (1-5)</t>
        </is>
      </c>
      <c r="F3" s="7" t="inlineStr">
        <is>
          <t>Score</t>
        </is>
      </c>
      <c r="G3" s="7" t="inlineStr">
        <is>
          <t>Mitigation</t>
        </is>
      </c>
      <c r="H3" s="7" t="inlineStr">
        <is>
          <t>Owner</t>
        </is>
      </c>
      <c r="I3" s="7" t="inlineStr">
        <is>
          <t>Review Datum</t>
        </is>
      </c>
    </row>
    <row r="4">
      <c r="A4" s="8" t="n">
        <v>1</v>
      </c>
      <c r="B4" s="8" t="inlineStr">
        <is>
          <t>Vendor Lock-in</t>
        </is>
      </c>
      <c r="C4" s="8" t="inlineStr"/>
      <c r="D4" s="9" t="n">
        <v>4</v>
      </c>
      <c r="E4" s="9" t="n">
        <v>4</v>
      </c>
      <c r="F4" s="11">
        <f>D4*E4</f>
        <v/>
      </c>
      <c r="G4" s="8" t="inlineStr">
        <is>
          <t>Standard-Konfiguration, Migrations-Klauseln, jährl. Marktscreening</t>
        </is>
      </c>
      <c r="H4" s="9" t="inlineStr"/>
      <c r="I4" s="9" t="inlineStr"/>
    </row>
    <row r="5">
      <c r="A5" s="8" t="n">
        <v>2</v>
      </c>
      <c r="B5" s="8" t="inlineStr">
        <is>
          <t>Preis-Eskalation</t>
        </is>
      </c>
      <c r="C5" s="8" t="inlineStr"/>
      <c r="D5" s="9" t="n">
        <v>3</v>
      </c>
      <c r="E5" s="9" t="n">
        <v>3</v>
      </c>
      <c r="F5" s="11">
        <f>D5*E5</f>
        <v/>
      </c>
      <c r="G5" s="8" t="inlineStr">
        <is>
          <t>Mehrjahresvertrag mit Preisgarantie, Volumen-Rabatte</t>
        </is>
      </c>
      <c r="H5" s="9" t="inlineStr"/>
      <c r="I5" s="9" t="inlineStr"/>
    </row>
    <row r="6">
      <c r="A6" s="8" t="n">
        <v>3</v>
      </c>
      <c r="B6" s="8" t="inlineStr">
        <is>
          <t>Ausfall/Betrieb</t>
        </is>
      </c>
      <c r="C6" s="8" t="inlineStr"/>
      <c r="D6" s="9" t="n">
        <v>2</v>
      </c>
      <c r="E6" s="9" t="n">
        <v>2</v>
      </c>
      <c r="F6" s="11">
        <f>D6*E6</f>
        <v/>
      </c>
      <c r="G6" s="8" t="inlineStr">
        <is>
          <t>SLA 99,9% + regionaler DC (Frankfurt/Düsseldorf), DSGVO</t>
        </is>
      </c>
      <c r="H6" s="9" t="inlineStr"/>
      <c r="I6" s="9" t="inlineStr"/>
    </row>
    <row r="7">
      <c r="A7" s="8" t="n">
        <v>4</v>
      </c>
      <c r="B7" s="8" t="inlineStr">
        <is>
          <t>Roadmap-Divergenz</t>
        </is>
      </c>
      <c r="C7" s="8" t="inlineStr"/>
      <c r="D7" s="9" t="n">
        <v>3</v>
      </c>
      <c r="E7" s="9" t="n">
        <v>3</v>
      </c>
      <c r="F7" s="11">
        <f>D7*E7</f>
        <v/>
      </c>
      <c r="G7" s="8" t="inlineStr">
        <is>
          <t>Standard first, keine tiefen Anpassungen; halbjährl. Review</t>
        </is>
      </c>
      <c r="H7" s="9" t="inlineStr"/>
      <c r="I7" s="9" t="inlineStr"/>
    </row>
    <row r="8">
      <c r="A8" s="8" t="n">
        <v>5</v>
      </c>
      <c r="B8" s="8" t="inlineStr">
        <is>
          <t>Datenhoheit / DSGVO</t>
        </is>
      </c>
      <c r="C8" s="8" t="inlineStr"/>
      <c r="D8" s="9" t="n">
        <v>2</v>
      </c>
      <c r="E8" s="9" t="n">
        <v>2</v>
      </c>
      <c r="F8" s="11">
        <f>D8*E8</f>
        <v/>
      </c>
      <c r="G8" s="8" t="inlineStr">
        <is>
          <t>DE-Hosting, ADV-Vertrag, verschlüsselte Datenhaltung</t>
        </is>
      </c>
      <c r="H8" s="9" t="inlineStr"/>
      <c r="I8" s="9" t="inlineStr"/>
    </row>
    <row r="9">
      <c r="A9" s="8" t="n">
        <v>6</v>
      </c>
      <c r="B9" s="8" t="inlineStr">
        <is>
          <t>Team-Kompetenzaufbau</t>
        </is>
      </c>
      <c r="C9" s="8" t="inlineStr"/>
      <c r="D9" s="9" t="n">
        <v>3</v>
      </c>
      <c r="E9" s="9" t="n">
        <v>3</v>
      </c>
      <c r="F9" s="11">
        <f>D9*E9</f>
        <v/>
      </c>
      <c r="G9" s="8" t="inlineStr">
        <is>
          <t>Ausbau ITSM-Team +1,5-2 FTE, Ausbildungsplan, Partner-Support</t>
        </is>
      </c>
      <c r="H9" s="9" t="inlineStr"/>
      <c r="I9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Sensitivitäts-Analyse: Best / Base / Worst Case</t>
        </is>
      </c>
    </row>
    <row r="3">
      <c r="A3" s="7" t="inlineStr">
        <is>
          <t>Kennzahl</t>
        </is>
      </c>
      <c r="B3" s="7" t="inlineStr">
        <is>
          <t>Best Case</t>
        </is>
      </c>
      <c r="C3" s="7" t="inlineStr">
        <is>
          <t>Base Case</t>
        </is>
      </c>
      <c r="D3" s="7" t="inlineStr">
        <is>
          <t>Worst Case</t>
        </is>
      </c>
    </row>
    <row r="4">
      <c r="A4" s="16" t="inlineStr">
        <is>
          <t>5-Jahres-TCO (k€)</t>
        </is>
      </c>
      <c r="B4" s="9" t="n">
        <v>6000</v>
      </c>
      <c r="C4" s="9" t="n">
        <v>7000</v>
      </c>
      <c r="D4" s="9" t="n">
        <v>8500</v>
      </c>
    </row>
    <row r="5">
      <c r="A5" s="16" t="inlineStr">
        <is>
          <t>Konsolidierung Tools 5J (k€)</t>
        </is>
      </c>
      <c r="B5" s="9" t="n">
        <v>5500</v>
      </c>
      <c r="C5" s="9" t="n">
        <v>4700</v>
      </c>
      <c r="D5" s="9" t="n">
        <v>3500</v>
      </c>
    </row>
    <row r="6">
      <c r="A6" s="16" t="inlineStr">
        <is>
          <t>Business Value 5J (k€)</t>
        </is>
      </c>
      <c r="B6" s="9" t="n">
        <v>14000</v>
      </c>
      <c r="C6" s="9" t="n">
        <v>11600</v>
      </c>
      <c r="D6" s="9" t="n">
        <v>8500</v>
      </c>
    </row>
    <row r="7">
      <c r="A7" s="16" t="inlineStr">
        <is>
          <t>Flankierende Prozesse 5J</t>
        </is>
      </c>
      <c r="B7" s="9" t="n">
        <v>6500</v>
      </c>
      <c r="C7" s="9" t="n">
        <v>5300</v>
      </c>
      <c r="D7" s="9" t="n">
        <v>3800</v>
      </c>
    </row>
    <row r="8">
      <c r="A8" s="16" t="inlineStr">
        <is>
          <t>Netto-Effekt 5 Jahre (k€)</t>
        </is>
      </c>
      <c r="B8" s="11">
        <f>B5+B6+B7-B4</f>
        <v/>
      </c>
      <c r="C8" s="11">
        <f>C5+C6+C7-C4</f>
        <v/>
      </c>
      <c r="D8" s="11">
        <f>D5+D6+D7-D4</f>
        <v/>
      </c>
    </row>
    <row r="9">
      <c r="A9" s="16" t="inlineStr">
        <is>
          <t>NPV (WACC 6 %) (k€)</t>
        </is>
      </c>
      <c r="B9" s="9" t="n">
        <v>10500</v>
      </c>
      <c r="C9" s="9" t="n">
        <v>8500</v>
      </c>
      <c r="D9" s="9" t="n">
        <v>6000</v>
      </c>
    </row>
    <row r="10">
      <c r="A10" s="16" t="inlineStr">
        <is>
          <t>IRR (%)</t>
        </is>
      </c>
      <c r="B10" s="9" t="n">
        <v>42</v>
      </c>
      <c r="C10" s="9" t="n">
        <v>32</v>
      </c>
      <c r="D10" s="9" t="n">
        <v>22</v>
      </c>
    </row>
    <row r="11">
      <c r="A11" s="16" t="inlineStr">
        <is>
          <t>Payback (Jahre)</t>
        </is>
      </c>
      <c r="B11" s="9" t="n">
        <v>2.8</v>
      </c>
      <c r="C11" s="9" t="n">
        <v>3.5</v>
      </c>
      <c r="D11" s="9" t="n">
        <v>4.5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0" customWidth="1" min="3" max="3"/>
  </cols>
  <sheetData>
    <row r="1">
      <c r="A1" s="18" t="inlineStr">
        <is>
          <t>Executive Summary Business Case SEPM</t>
        </is>
      </c>
    </row>
    <row r="3">
      <c r="A3" s="7" t="inlineStr">
        <is>
          <t>Kennzahl</t>
        </is>
      </c>
      <c r="B3" s="7" t="inlineStr">
        <is>
          <t>Wert</t>
        </is>
      </c>
      <c r="C3" s="7" t="inlineStr">
        <is>
          <t>Kommentar</t>
        </is>
      </c>
    </row>
    <row r="4">
      <c r="A4" s="16" t="inlineStr">
        <is>
          <t>5-Jahres-TCO SEPM</t>
        </is>
      </c>
      <c r="B4" s="11">
        <f>'TCO_Detail'!G14</f>
        <v/>
      </c>
      <c r="C4" s="8" t="inlineStr">
        <is>
          <t>einmalig + laufend</t>
        </is>
      </c>
    </row>
    <row r="5">
      <c r="A5" s="16" t="inlineStr">
        <is>
          <t>Konsolidierung Tools p.a.</t>
        </is>
      </c>
      <c r="B5" s="11">
        <f>'Konsolidierung_Tools'!H10</f>
        <v/>
      </c>
      <c r="C5" s="8" t="inlineStr">
        <is>
          <t>Steady State</t>
        </is>
      </c>
    </row>
    <row r="6">
      <c r="A6" s="16" t="inlineStr">
        <is>
          <t>Business Value p.a.</t>
        </is>
      </c>
      <c r="B6" s="11">
        <f>'Business_Value'!F9</f>
        <v/>
      </c>
      <c r="C6" s="8" t="inlineStr">
        <is>
          <t>Steady State</t>
        </is>
      </c>
    </row>
    <row r="7">
      <c r="A7" s="16" t="inlineStr">
        <is>
          <t>Flankierende Prozesse p.a.</t>
        </is>
      </c>
      <c r="B7" s="11">
        <f>'Prozess_Potentiale'!F9</f>
        <v/>
      </c>
      <c r="C7" s="8" t="inlineStr">
        <is>
          <t>SPM-nah, quantifiziert</t>
        </is>
      </c>
    </row>
    <row r="8">
      <c r="A8" s="16" t="inlineStr">
        <is>
          <t>Support-Kosten p.a.</t>
        </is>
      </c>
      <c r="B8" s="11">
        <f>'Support_Kosten'!E17</f>
        <v/>
      </c>
      <c r="C8" s="8" t="inlineStr">
        <is>
          <t>intern + extern + Weiterentw.</t>
        </is>
      </c>
    </row>
    <row r="9">
      <c r="A9" s="16" t="inlineStr">
        <is>
          <t>Payback (Jahre)</t>
        </is>
      </c>
      <c r="B9" s="11">
        <f>'Sensitivity'!C10</f>
        <v/>
      </c>
      <c r="C9" s="8" t="inlineStr">
        <is>
          <t>Base Case</t>
        </is>
      </c>
    </row>
    <row r="10">
      <c r="A10" s="16" t="inlineStr">
        <is>
          <t>NPV (WACC 6 %)</t>
        </is>
      </c>
      <c r="B10" s="11">
        <f>'Sensitivity'!C8</f>
        <v/>
      </c>
      <c r="C10" s="8" t="inlineStr">
        <is>
          <t>Base Case</t>
        </is>
      </c>
    </row>
    <row r="11">
      <c r="A11" s="16" t="inlineStr">
        <is>
          <t>IRR</t>
        </is>
      </c>
      <c r="B11" s="11">
        <f>'Sensitivity'!C9</f>
        <v/>
      </c>
      <c r="C11" s="8" t="inlineStr">
        <is>
          <t>Base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2026-07-01T15:14:49Z</dcterms:created>
  <dcterms:modified xmlns:dcterms="http://purl.org/dc/terms/" xmlns:xsi="http://www.w3.org/2001/XMLSchema-instance" xsi:type="dcterms:W3CDTF">2026-07-01T15:14:49Z</dcterms:modified>
</cp:coreProperties>
</file>