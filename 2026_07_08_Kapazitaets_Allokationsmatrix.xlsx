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Allokation %" sheetId="2" state="visible" r:id="rId2"/>
    <sheet xmlns:r="http://schemas.openxmlformats.org/officeDocument/2006/relationships" name="FTE &amp; Deck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0.0"/>
    <numFmt numFmtId="166" formatCode="+0.0;-0.0"/>
  </numFmts>
  <fonts count="16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4B5563"/>
      <sz val="10"/>
    </font>
    <font>
      <name val="Calibri"/>
      <b val="1"/>
      <color rgb="00FFFFFF"/>
    </font>
    <font>
      <name val="Calibri"/>
      <b val="1"/>
      <color rgb="00FFFFFF"/>
      <sz val="9"/>
    </font>
    <font>
      <name val="Calibri"/>
      <b val="1"/>
      <color rgb="001F2937"/>
      <sz val="10"/>
    </font>
    <font>
      <name val="Calibri"/>
      <b val="1"/>
      <color rgb="002E5A8F"/>
    </font>
    <font>
      <name val="Calibri"/>
      <color rgb="001F2937"/>
      <sz val="10"/>
    </font>
    <font>
      <name val="Calibri"/>
      <color rgb="00C7CDD4"/>
      <sz val="10"/>
    </font>
    <font>
      <name val="Calibri"/>
      <b val="1"/>
    </font>
    <font>
      <name val="Calibri"/>
      <b val="1"/>
      <color rgb="001F2937"/>
    </font>
    <font>
      <name val="Calibri"/>
      <i val="1"/>
      <color rgb="004B5563"/>
      <sz val="9"/>
    </font>
    <font>
      <name val="Calibri"/>
      <color rgb="001F2937"/>
    </font>
    <font>
      <name val="Calibri"/>
      <b val="1"/>
      <color rgb="001F2937"/>
      <sz val="16"/>
    </font>
    <font>
      <name val="Calibri"/>
      <b val="1"/>
      <color rgb="00F07F12"/>
      <sz val="12"/>
    </font>
    <font>
      <name val="Calibri"/>
      <color rgb="001F2937"/>
      <sz val="10.5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1F4"/>
      </patternFill>
    </fill>
    <fill>
      <patternFill patternType="solid">
        <fgColor rgb="00F7F7F7"/>
      </patternFill>
    </fill>
    <fill>
      <patternFill patternType="solid">
        <fgColor rgb="00F07F1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9" fillId="3" borderId="1" applyAlignment="1" pivotButton="0" quotePrefix="0" xfId="0">
      <alignment horizontal="center"/>
    </xf>
    <xf numFmtId="0" fontId="10" fillId="4" borderId="1" pivotButton="0" quotePrefix="0" xfId="0"/>
    <xf numFmtId="0" fontId="6" fillId="4" borderId="1" applyAlignment="1" pivotButton="0" quotePrefix="0" xfId="0">
      <alignment horizontal="center"/>
    </xf>
    <xf numFmtId="0" fontId="11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165" fontId="12" fillId="3" borderId="1" applyAlignment="1" pivotButton="0" quotePrefix="0" xfId="0">
      <alignment horizontal="center"/>
    </xf>
    <xf numFmtId="166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Calibri"/>
        <b val="1"/>
        <color rgb="00B91C1C"/>
      </font>
      <fill>
        <patternFill patternType="solid">
          <fgColor rgb="00FDE2E2"/>
        </patternFill>
      </fill>
    </dxf>
    <dxf>
      <font>
        <name val="Calibri"/>
        <b val="1"/>
        <color rgb="002E7D32"/>
      </font>
      <fill>
        <patternFill patternType="solid">
          <fgColor rgb="00E3F2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Kapazitäts-Allokationsmatrix — Anleitung</t>
        </is>
      </c>
    </row>
    <row r="4" ht="30" customHeight="1">
      <c r="B4" s="2" t="inlineStr">
        <is>
          <t>Zweck</t>
        </is>
      </c>
    </row>
    <row r="5" ht="30" customHeight="1">
      <c r="B5" s="3" t="inlineStr">
        <is>
          <t>Steuerungstemplate für das Capacity-Board. Macht sichtbar, wie viel Kapazität jede Homebase (Linie) an welche Mannschaft (Value Stream) zusagt — und ob die Summe die geplante Nachfrage deckt.</t>
        </is>
      </c>
    </row>
    <row r="6" ht="16" customHeight="1">
      <c r="B6" s="3" t="inlineStr"/>
    </row>
    <row r="7" ht="30" customHeight="1">
      <c r="B7" s="2" t="inlineStr">
        <is>
          <t>So wird es genutzt</t>
        </is>
      </c>
    </row>
    <row r="8" ht="30" customHeight="1">
      <c r="B8" s="3" t="inlineStr">
        <is>
          <t>1.  Blatt 'Allokation %': FTE-Basis je Homebase eintragen, dann die %-Zusage je Value Stream / Chapter / Run &amp; Line pflegen. Jede Zeile MUSS 100 % ergeben (Spalte 'Summe %' wird grün; rot = Fehler).</t>
        </is>
      </c>
    </row>
    <row r="9" ht="30" customHeight="1">
      <c r="B9" s="3" t="inlineStr">
        <is>
          <t>2.  Blatt 'FTE &amp; Deckung': rechnet automatisch das FTE-Angebot je Value Stream und vergleicht es mit der Nachfrage. 'Deckung (Gap)' rot = Unterdeckung.</t>
        </is>
      </c>
    </row>
    <row r="10" ht="30" customHeight="1">
      <c r="B10" s="3" t="inlineStr">
        <is>
          <t>3.  Bei roter Deckung: im Board entscheiden — Nachfrage priorisieren, Kapazität umschichten, Dienstleister zuschalten oder Skill aufbauen (Chapter).</t>
        </is>
      </c>
    </row>
    <row r="11" ht="16" customHeight="1">
      <c r="B11" s="3" t="inlineStr"/>
    </row>
    <row r="12" ht="30" customHeight="1">
      <c r="B12" s="2" t="inlineStr">
        <is>
          <t>Spielregeln (aus dem Zielmodell)</t>
        </is>
      </c>
    </row>
    <row r="13" ht="30" customHeight="1">
      <c r="B13" s="3" t="inlineStr">
        <is>
          <t>•  Kapazität wird ZUGESAGT, nicht angenommen — die %-Werte sind ein Commitment der Homebase.</t>
        </is>
      </c>
    </row>
    <row r="14" ht="30" customHeight="1">
      <c r="B14" s="3" t="inlineStr">
        <is>
          <t>•  Eine Priorität pro Person; Dediziert vor geteilt (Splitting über &gt; 2 Streams vermeiden).</t>
        </is>
      </c>
    </row>
    <row r="15" ht="30" customHeight="1">
      <c r="B15" s="3" t="inlineStr">
        <is>
          <t>•  Homebase ist accountable für die Kapazitäts-Zusage, Service Owner für die Priorität. Ressourcenkonflikte entscheidet das Capacity-Board.</t>
        </is>
      </c>
    </row>
    <row r="16" ht="16" customHeight="1">
      <c r="B16" s="3" t="inlineStr"/>
    </row>
    <row r="17" ht="30" customHeight="1">
      <c r="B17" s="2" t="inlineStr">
        <is>
          <t>Rhythmus</t>
        </is>
      </c>
    </row>
    <row r="18" ht="30" customHeight="1">
      <c r="B18" s="3" t="inlineStr">
        <is>
          <t>Quartalsweise Grundallokation (Portfolio-Board), monatliche Nachjustierung (Service Management Review). Alle Werte hier sind Beispielwerte.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4" t="inlineStr">
        <is>
          <t>Kapazitäts-Allokationsmatrix — Homebase × Value Stream</t>
        </is>
      </c>
    </row>
    <row r="2">
      <c r="A2" s="5" t="inlineStr">
        <is>
          <t>Steuerungstemplate Capacity-Board · %-Verteilung der Homebase-Kapazität · Beispielwerte</t>
        </is>
      </c>
    </row>
    <row r="4" ht="46" customHeight="1">
      <c r="A4" s="6" t="inlineStr">
        <is>
          <t>Homebase</t>
        </is>
      </c>
      <c r="B4" s="7" t="inlineStr">
        <is>
          <t>FTE gesamt</t>
        </is>
      </c>
      <c r="C4" s="8" t="inlineStr">
        <is>
          <t>Modern Workplace</t>
        </is>
      </c>
      <c r="D4" s="8" t="inlineStr">
        <is>
          <t>Network &amp; Connectivity</t>
        </is>
      </c>
      <c r="E4" s="8" t="inlineStr">
        <is>
          <t>Compute/Cloud/DC</t>
        </is>
      </c>
      <c r="F4" s="8" t="inlineStr">
        <is>
          <t>Identity &amp; Access</t>
        </is>
      </c>
      <c r="G4" s="8" t="inlineStr">
        <is>
          <t>SAP &amp; Business Apps</t>
        </is>
      </c>
      <c r="H4" s="8" t="inlineStr">
        <is>
          <t>Data/Analytics/KI</t>
        </is>
      </c>
      <c r="I4" s="8" t="inlineStr">
        <is>
          <t>Service Desk / ITSM</t>
        </is>
      </c>
      <c r="J4" s="8" t="inlineStr">
        <is>
          <t>Chapter / CoP</t>
        </is>
      </c>
      <c r="K4" s="8" t="inlineStr">
        <is>
          <t>Run &amp; Line</t>
        </is>
      </c>
      <c r="L4" s="7" t="inlineStr">
        <is>
          <t>Summe %</t>
        </is>
      </c>
    </row>
    <row r="5">
      <c r="A5" s="9" t="inlineStr">
        <is>
          <t>Workplace Solutions</t>
        </is>
      </c>
      <c r="B5" s="10" t="n">
        <v>18</v>
      </c>
      <c r="C5" s="11" t="n">
        <v>70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1" t="n">
        <v>5</v>
      </c>
      <c r="J5" s="11" t="n">
        <v>15</v>
      </c>
      <c r="K5" s="11" t="n">
        <v>10</v>
      </c>
      <c r="L5" s="13">
        <f>SUM(C5:K5)</f>
        <v/>
      </c>
    </row>
    <row r="6">
      <c r="A6" s="14" t="inlineStr">
        <is>
          <t>Infrastructure &amp; Platforms</t>
        </is>
      </c>
      <c r="B6" s="15" t="n">
        <v>30</v>
      </c>
      <c r="C6" s="16" t="n">
        <v>0</v>
      </c>
      <c r="D6" s="17" t="n">
        <v>25</v>
      </c>
      <c r="E6" s="17" t="n">
        <v>30</v>
      </c>
      <c r="F6" s="17" t="n">
        <v>20</v>
      </c>
      <c r="G6" s="16" t="n">
        <v>0</v>
      </c>
      <c r="H6" s="16" t="n">
        <v>0</v>
      </c>
      <c r="I6" s="16" t="n">
        <v>0</v>
      </c>
      <c r="J6" s="17" t="n">
        <v>10</v>
      </c>
      <c r="K6" s="17" t="n">
        <v>15</v>
      </c>
      <c r="L6" s="18">
        <f>SUM(C6:K6)</f>
        <v/>
      </c>
    </row>
    <row r="7">
      <c r="A7" s="9" t="inlineStr">
        <is>
          <t>Local IT Operations</t>
        </is>
      </c>
      <c r="B7" s="10" t="n">
        <v>22</v>
      </c>
      <c r="C7" s="11" t="n">
        <v>30</v>
      </c>
      <c r="D7" s="11" t="n">
        <v>10</v>
      </c>
      <c r="E7" s="12" t="n">
        <v>0</v>
      </c>
      <c r="F7" s="12" t="n">
        <v>0</v>
      </c>
      <c r="G7" s="12" t="n">
        <v>0</v>
      </c>
      <c r="H7" s="12" t="n">
        <v>0</v>
      </c>
      <c r="I7" s="11" t="n">
        <v>40</v>
      </c>
      <c r="J7" s="11" t="n">
        <v>5</v>
      </c>
      <c r="K7" s="11" t="n">
        <v>15</v>
      </c>
      <c r="L7" s="13">
        <f>SUM(C7:K7)</f>
        <v/>
      </c>
    </row>
    <row r="8">
      <c r="A8" s="14" t="inlineStr">
        <is>
          <t>Business Solutions (Design/AMS)</t>
        </is>
      </c>
      <c r="B8" s="15" t="n">
        <v>26</v>
      </c>
      <c r="C8" s="16" t="n">
        <v>0</v>
      </c>
      <c r="D8" s="16" t="n">
        <v>0</v>
      </c>
      <c r="E8" s="16" t="n">
        <v>0</v>
      </c>
      <c r="F8" s="17" t="n">
        <v>5</v>
      </c>
      <c r="G8" s="17" t="n">
        <v>40</v>
      </c>
      <c r="H8" s="17" t="n">
        <v>25</v>
      </c>
      <c r="I8" s="16" t="n">
        <v>0</v>
      </c>
      <c r="J8" s="17" t="n">
        <v>15</v>
      </c>
      <c r="K8" s="17" t="n">
        <v>15</v>
      </c>
      <c r="L8" s="18">
        <f>SUM(C8:K8)</f>
        <v/>
      </c>
    </row>
    <row r="9">
      <c r="A9" s="9" t="inlineStr">
        <is>
          <t>Application Technology (SAP Basis/Dev)</t>
        </is>
      </c>
      <c r="B9" s="10" t="n">
        <v>14</v>
      </c>
      <c r="C9" s="12" t="n">
        <v>0</v>
      </c>
      <c r="D9" s="12" t="n">
        <v>0</v>
      </c>
      <c r="E9" s="12" t="n">
        <v>0</v>
      </c>
      <c r="F9" s="12" t="n">
        <v>0</v>
      </c>
      <c r="G9" s="11" t="n">
        <v>60</v>
      </c>
      <c r="H9" s="11" t="n">
        <v>10</v>
      </c>
      <c r="I9" s="12" t="n">
        <v>0</v>
      </c>
      <c r="J9" s="11" t="n">
        <v>15</v>
      </c>
      <c r="K9" s="11" t="n">
        <v>15</v>
      </c>
      <c r="L9" s="13">
        <f>SUM(C9:K9)</f>
        <v/>
      </c>
    </row>
    <row r="10">
      <c r="A10" s="14" t="inlineStr">
        <is>
          <t>Cyber Defense / SecOps</t>
        </is>
      </c>
      <c r="B10" s="15" t="n">
        <v>12</v>
      </c>
      <c r="C10" s="17" t="n">
        <v>5</v>
      </c>
      <c r="D10" s="17" t="n">
        <v>5</v>
      </c>
      <c r="E10" s="17" t="n">
        <v>5</v>
      </c>
      <c r="F10" s="17" t="n">
        <v>10</v>
      </c>
      <c r="G10" s="16" t="n">
        <v>0</v>
      </c>
      <c r="H10" s="16" t="n">
        <v>0</v>
      </c>
      <c r="I10" s="17" t="n">
        <v>5</v>
      </c>
      <c r="J10" s="17" t="n">
        <v>20</v>
      </c>
      <c r="K10" s="17" t="n">
        <v>50</v>
      </c>
      <c r="L10" s="18">
        <f>SUM(C10:K10)</f>
        <v/>
      </c>
    </row>
    <row r="11">
      <c r="A11" s="9" t="inlineStr">
        <is>
          <t>Cyber GRC</t>
        </is>
      </c>
      <c r="B11" s="10" t="n">
        <v>8</v>
      </c>
      <c r="C11" s="12" t="n">
        <v>0</v>
      </c>
      <c r="D11" s="12" t="n">
        <v>0</v>
      </c>
      <c r="E11" s="12" t="n">
        <v>0</v>
      </c>
      <c r="F11" s="11" t="n">
        <v>10</v>
      </c>
      <c r="G11" s="12" t="n">
        <v>0</v>
      </c>
      <c r="H11" s="12" t="n">
        <v>0</v>
      </c>
      <c r="I11" s="12" t="n">
        <v>0</v>
      </c>
      <c r="J11" s="11" t="n">
        <v>30</v>
      </c>
      <c r="K11" s="11" t="n">
        <v>60</v>
      </c>
      <c r="L11" s="13">
        <f>SUM(C11:K11)</f>
        <v/>
      </c>
    </row>
    <row r="12">
      <c r="A12" s="14" t="inlineStr">
        <is>
          <t>EA &amp; Innovation</t>
        </is>
      </c>
      <c r="B12" s="15" t="n">
        <v>6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20</v>
      </c>
      <c r="I12" s="16" t="n">
        <v>0</v>
      </c>
      <c r="J12" s="17" t="n">
        <v>40</v>
      </c>
      <c r="K12" s="17" t="n">
        <v>40</v>
      </c>
      <c r="L12" s="18">
        <f>SUM(C12:K12)</f>
        <v/>
      </c>
    </row>
    <row r="13">
      <c r="A13" s="19" t="inlineStr">
        <is>
          <t>Σ FTE-Basis</t>
        </is>
      </c>
      <c r="B13" s="20">
        <f>SUM(B5:B12)</f>
        <v/>
      </c>
    </row>
    <row r="15">
      <c r="A15" s="21" t="inlineStr">
        <is>
          <t>Regel: Jede Homebase-Zeile muss 100 % ergeben (grün). Rot = Über-/Unterallokation. Werte im Board pflegen.</t>
        </is>
      </c>
    </row>
  </sheetData>
  <conditionalFormatting sqref="L5:L12">
    <cfRule type="cellIs" priority="1" operator="notEqual" dxfId="0">
      <formula>100</formula>
    </cfRule>
    <cfRule type="cellIs" priority="2" operator="equal" dxfId="1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FTE-Angebot vs. Nachfrage je Value Stream</t>
        </is>
      </c>
    </row>
    <row r="2">
      <c r="A2" s="5" t="inlineStr">
        <is>
          <t>Angebot = Σ (Homebase-FTE × %-Allokation). Nachfrage = Planungsinput. Gap = Angebot − Nachfrage.</t>
        </is>
      </c>
    </row>
    <row r="4" ht="30" customHeight="1">
      <c r="A4" s="22" t="inlineStr">
        <is>
          <t>Ziel (Value Stream / Sammelposten)</t>
        </is>
      </c>
      <c r="B4" s="23" t="inlineStr">
        <is>
          <t>Angebot (FTE)</t>
        </is>
      </c>
      <c r="C4" s="23" t="inlineStr">
        <is>
          <t>Nachfrage (FTE)</t>
        </is>
      </c>
      <c r="D4" s="23" t="inlineStr">
        <is>
          <t>Deckung (Gap)</t>
        </is>
      </c>
    </row>
    <row r="5">
      <c r="A5" s="9" t="inlineStr">
        <is>
          <t>Modern Workplace</t>
        </is>
      </c>
      <c r="B5" s="24">
        <f>SUMPRODUCT('Allokation %'!$B$5:$B$12,'Allokation %'!C5:C12)/100</f>
        <v/>
      </c>
      <c r="C5" s="25" t="n">
        <v>22</v>
      </c>
      <c r="D5" s="26">
        <f>B5-C5</f>
        <v/>
      </c>
    </row>
    <row r="6">
      <c r="A6" s="14" t="inlineStr">
        <is>
          <t>Network &amp; Connectivity</t>
        </is>
      </c>
      <c r="B6" s="27">
        <f>SUMPRODUCT('Allokation %'!$B$5:$B$12,'Allokation %'!D5:D12)/100</f>
        <v/>
      </c>
      <c r="C6" s="28" t="n">
        <v>10</v>
      </c>
      <c r="D6" s="29">
        <f>B6-C6</f>
        <v/>
      </c>
    </row>
    <row r="7">
      <c r="A7" s="9" t="inlineStr">
        <is>
          <t>Compute/Cloud/DC</t>
        </is>
      </c>
      <c r="B7" s="24">
        <f>SUMPRODUCT('Allokation %'!$B$5:$B$12,'Allokation %'!E5:E12)/100</f>
        <v/>
      </c>
      <c r="C7" s="25" t="n">
        <v>10</v>
      </c>
      <c r="D7" s="26">
        <f>B7-C7</f>
        <v/>
      </c>
    </row>
    <row r="8">
      <c r="A8" s="14" t="inlineStr">
        <is>
          <t>Identity &amp; Access</t>
        </is>
      </c>
      <c r="B8" s="27">
        <f>SUMPRODUCT('Allokation %'!$B$5:$B$12,'Allokation %'!F5:F12)/100</f>
        <v/>
      </c>
      <c r="C8" s="28" t="n">
        <v>9</v>
      </c>
      <c r="D8" s="29">
        <f>B8-C8</f>
        <v/>
      </c>
    </row>
    <row r="9">
      <c r="A9" s="9" t="inlineStr">
        <is>
          <t>SAP &amp; Business Apps</t>
        </is>
      </c>
      <c r="B9" s="24">
        <f>SUMPRODUCT('Allokation %'!$B$5:$B$12,'Allokation %'!G5:G12)/100</f>
        <v/>
      </c>
      <c r="C9" s="25" t="n">
        <v>18</v>
      </c>
      <c r="D9" s="26">
        <f>B9-C9</f>
        <v/>
      </c>
    </row>
    <row r="10">
      <c r="A10" s="14" t="inlineStr">
        <is>
          <t>Data/Analytics/KI</t>
        </is>
      </c>
      <c r="B10" s="27">
        <f>SUMPRODUCT('Allokation %'!$B$5:$B$12,'Allokation %'!H5:H12)/100</f>
        <v/>
      </c>
      <c r="C10" s="28" t="n">
        <v>10</v>
      </c>
      <c r="D10" s="29">
        <f>B10-C10</f>
        <v/>
      </c>
    </row>
    <row r="11">
      <c r="A11" s="9" t="inlineStr">
        <is>
          <t>Service Desk / ITSM</t>
        </is>
      </c>
      <c r="B11" s="24">
        <f>SUMPRODUCT('Allokation %'!$B$5:$B$12,'Allokation %'!I5:I12)/100</f>
        <v/>
      </c>
      <c r="C11" s="25" t="n">
        <v>10</v>
      </c>
      <c r="D11" s="26">
        <f>B11-C11</f>
        <v/>
      </c>
    </row>
    <row r="12">
      <c r="A12" s="14" t="inlineStr">
        <is>
          <t>Chapter / CoP</t>
        </is>
      </c>
      <c r="B12" s="27">
        <f>SUMPRODUCT('Allokation %'!$B$5:$B$12,'Allokation %'!J5:J12)/100</f>
        <v/>
      </c>
      <c r="C12" s="28" t="inlineStr">
        <is>
          <t>—</t>
        </is>
      </c>
      <c r="D12" s="30" t="inlineStr">
        <is>
          <t>—</t>
        </is>
      </c>
    </row>
    <row r="13">
      <c r="A13" s="9" t="inlineStr">
        <is>
          <t>Run &amp; Line</t>
        </is>
      </c>
      <c r="B13" s="24">
        <f>SUMPRODUCT('Allokation %'!$B$5:$B$12,'Allokation %'!K5:K12)/100</f>
        <v/>
      </c>
      <c r="C13" s="25" t="inlineStr">
        <is>
          <t>—</t>
        </is>
      </c>
      <c r="D13" s="31" t="inlineStr">
        <is>
          <t>—</t>
        </is>
      </c>
    </row>
    <row r="15">
      <c r="A15" s="21" t="inlineStr">
        <is>
          <t>Rot = Unterdeckung (Nachfrage &gt; Angebot) → Priorisierung/Nachschärfung im Capacity-Board. Chapter &amp; Run &amp; Line ohne Ziel-Gap (keine Wertstrom-Nachfrage).</t>
        </is>
      </c>
    </row>
  </sheetData>
  <conditionalFormatting sqref="D5:D1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2026-07-08T08:28:09Z</dcterms:created>
  <dcterms:modified xmlns:dcterms="http://purl.org/dc/terms/" xmlns:xsi="http://www.w3.org/2001/XMLSchema-instance" xsi:type="dcterms:W3CDTF">2026-07-08T08:28:09Z</dcterms:modified>
</cp:coreProperties>
</file>